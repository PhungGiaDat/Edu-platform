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University\Graduted Project\Edu-platform\docs\pm-excel\"/>
    </mc:Choice>
  </mc:AlternateContent>
  <xr:revisionPtr revIDLastSave="0" documentId="13_ncr:1_{EB27505E-2575-4CC9-B828-54588E578857}" xr6:coauthVersionLast="47" xr6:coauthVersionMax="47" xr10:uidLastSave="{00000000-0000-0000-0000-000000000000}"/>
  <bookViews>
    <workbookView xWindow="-28920" yWindow="6570" windowWidth="29040" windowHeight="15720" activeTab="6" xr2:uid="{00000000-000D-0000-FFFF-FFFF00000000}"/>
  </bookViews>
  <sheets>
    <sheet name="Dashboard" sheetId="1" r:id="rId1"/>
    <sheet name="Project Info" sheetId="2" r:id="rId2"/>
    <sheet name="Milestones" sheetId="3" r:id="rId3"/>
    <sheet name="Requirements" sheetId="4" r:id="rId4"/>
    <sheet name="WBS Checklist" sheetId="5" r:id="rId5"/>
    <sheet name="Daily Checklist" sheetId="6" r:id="rId6"/>
    <sheet name="Risk Register" sheetId="7" r:id="rId7"/>
    <sheet name="Gantt Chart" sheetId="8" r:id="rId8"/>
  </sheets>
  <definedNames>
    <definedName name="_xlnm._FilterDatabase" localSheetId="5" hidden="1">'Daily Checklist'!$A$1:$J$21</definedName>
    <definedName name="_xlnm._FilterDatabase" localSheetId="0" hidden="1">Dashboard!$A$1:$D$3</definedName>
    <definedName name="_xlnm._FilterDatabase" localSheetId="2" hidden="1">Milestones!$A$1:$J$9</definedName>
    <definedName name="_xlnm._FilterDatabase" localSheetId="1" hidden="1">'Project Info'!$A$1:$B$12</definedName>
    <definedName name="_xlnm._FilterDatabase" localSheetId="3" hidden="1">Requirements!$A$1:$I$35</definedName>
    <definedName name="_xlnm._FilterDatabase" localSheetId="6" hidden="1">'Risk Register'!$A$1:$K$21</definedName>
    <definedName name="_xlnm._FilterDatabase" localSheetId="4" hidden="1">'WBS Checklist'!$A$1:$M$43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1" l="1"/>
  <c r="B10" i="1"/>
  <c r="B9" i="1"/>
  <c r="B8" i="1"/>
  <c r="B6" i="1"/>
  <c r="B5" i="1"/>
  <c r="B4" i="1"/>
  <c r="B7" i="1" s="1"/>
</calcChain>
</file>

<file path=xl/sharedStrings.xml><?xml version="1.0" encoding="utf-8"?>
<sst xmlns="http://schemas.openxmlformats.org/spreadsheetml/2006/main" count="1167" uniqueCount="576">
  <si>
    <t>AR Engine Build Tracker — Dashboard</t>
  </si>
  <si>
    <t>Metric</t>
  </si>
  <si>
    <t>Value</t>
  </si>
  <si>
    <t>Target / Meaning</t>
  </si>
  <si>
    <t>Notes</t>
  </si>
  <si>
    <t>Total tasks</t>
  </si>
  <si>
    <t>Dynamic</t>
  </si>
  <si>
    <t>Calculated from tracker sheets</t>
  </si>
  <si>
    <t>Tasks done</t>
  </si>
  <si>
    <t>Tasks remaining</t>
  </si>
  <si>
    <t>% complete</t>
  </si>
  <si>
    <t>Total requirements</t>
  </si>
  <si>
    <t>Critical requirements</t>
  </si>
  <si>
    <t>Critical risks</t>
  </si>
  <si>
    <t>Mac Day countdown</t>
  </si>
  <si>
    <t>Project Metadata</t>
  </si>
  <si>
    <t>Project Name</t>
  </si>
  <si>
    <t>AR Food Education App - Engine Build</t>
  </si>
  <si>
    <t>Project ID</t>
  </si>
  <si>
    <t>AR-EDU-2026-001</t>
  </si>
  <si>
    <t>Start Date</t>
  </si>
  <si>
    <t>Target Completion</t>
  </si>
  <si>
    <t>2026-08-19</t>
  </si>
  <si>
    <t>Total Working Days</t>
  </si>
  <si>
    <t>20</t>
  </si>
  <si>
    <t>Mac Day</t>
  </si>
  <si>
    <t>2026-08-07 (Day 13)</t>
  </si>
  <si>
    <t>Project Manager</t>
  </si>
  <si>
    <t>Me</t>
  </si>
  <si>
    <t>Status</t>
  </si>
  <si>
    <t>Active</t>
  </si>
  <si>
    <t>Demo Date</t>
  </si>
  <si>
    <t>Demo Type</t>
  </si>
  <si>
    <t>Local iOS only</t>
  </si>
  <si>
    <t>Stack</t>
  </si>
  <si>
    <t>React Native + Unity 6.0 + ARFoundation 6.3.5</t>
  </si>
  <si>
    <t>Milestone_ID</t>
  </si>
  <si>
    <t>Milestone_Name</t>
  </si>
  <si>
    <t>Target_Date</t>
  </si>
  <si>
    <t>Done</t>
  </si>
  <si>
    <t>%_Complete</t>
  </si>
  <si>
    <t>Dependencies</t>
  </si>
  <si>
    <t>Risk_Level</t>
  </si>
  <si>
    <t>Sign_Off</t>
  </si>
  <si>
    <t>M0</t>
  </si>
  <si>
    <t>Foundation Audit</t>
  </si>
  <si>
    <t>Not Started</t>
  </si>
  <si>
    <t>None</t>
  </si>
  <si>
    <t>Green</t>
  </si>
  <si>
    <t>Day 1 gate</t>
  </si>
  <si>
    <t>M1</t>
  </si>
  <si>
    <t>Foundation Complete</t>
  </si>
  <si>
    <t>Day 2 gate</t>
  </si>
  <si>
    <t>M2</t>
  </si>
  <si>
    <t>Unity AR Working</t>
  </si>
  <si>
    <t>Day 4 gate</t>
  </si>
  <si>
    <t>M3</t>
  </si>
  <si>
    <t>Bridge Functional</t>
  </si>
  <si>
    <t>Day 6 gate</t>
  </si>
  <si>
    <t>M4</t>
  </si>
  <si>
    <t>API Integrated</t>
  </si>
  <si>
    <t>Day 8 gate</t>
  </si>
  <si>
    <t>M5</t>
  </si>
  <si>
    <t>UI Complete</t>
  </si>
  <si>
    <t>Day 10 gate</t>
  </si>
  <si>
    <t>M6</t>
  </si>
  <si>
    <t>Code Freeze</t>
  </si>
  <si>
    <t>Day 12 gate</t>
  </si>
  <si>
    <t>M7</t>
  </si>
  <si>
    <t>Demo Ready</t>
  </si>
  <si>
    <t>Day 20 final</t>
  </si>
  <si>
    <t>Req_ID</t>
  </si>
  <si>
    <t>Category</t>
  </si>
  <si>
    <t>Requirement_Description</t>
  </si>
  <si>
    <t>Priority</t>
  </si>
  <si>
    <t>MoSCoW</t>
  </si>
  <si>
    <t>Verification_Method</t>
  </si>
  <si>
    <t>REQ-001</t>
  </si>
  <si>
    <t>Functional</t>
  </si>
  <si>
    <t>RN App shall launch to a Home screen with 3 lesson cards</t>
  </si>
  <si>
    <t>Critical</t>
  </si>
  <si>
    <t>Must</t>
  </si>
  <si>
    <t>Manual test on iOS</t>
  </si>
  <si>
    <t>REQ-002</t>
  </si>
  <si>
    <t>App shall scan for AR image targets using ARKit</t>
  </si>
  <si>
    <t>Scan elephant printout</t>
  </si>
  <si>
    <t>REQ-003</t>
  </si>
  <si>
    <t>On image detection, Unity shall spawn 3D elephant model</t>
  </si>
  <si>
    <t>Visual confirmation</t>
  </si>
  <si>
    <t>REQ-004</t>
  </si>
  <si>
    <t>On detection, jungle scene shall appear around elephant</t>
  </si>
  <si>
    <t>REQ-005</t>
  </si>
  <si>
    <t>User shall see word + translation overlay in RN</t>
  </si>
  <si>
    <t>REQ-006</t>
  </si>
  <si>
    <t>RN ↔ Unity bridge shall pass messages both directions</t>
  </si>
  <si>
    <t>Test bridge</t>
  </si>
  <si>
    <t>REQ-007</t>
  </si>
  <si>
    <t>App shall fetch food data from web API</t>
  </si>
  <si>
    <t>curl API endpoint</t>
  </si>
  <si>
    <t>REQ-013</t>
  </si>
  <si>
    <t>Non-Functional</t>
  </si>
  <si>
    <t>App shall not crash during 5-min demo</t>
  </si>
  <si>
    <t>5-min stress test</t>
  </si>
  <si>
    <t>REQ-014</t>
  </si>
  <si>
    <t>Code shall compile without errors on Mac Day</t>
  </si>
  <si>
    <t>Xcode build success</t>
  </si>
  <si>
    <t>REQ-015</t>
  </si>
  <si>
    <t>iOS .ipa shall install via Xcode</t>
  </si>
  <si>
    <t>Xcode install</t>
  </si>
  <si>
    <t>REQ-016</t>
  </si>
  <si>
    <t>Technical</t>
  </si>
  <si>
    <t>Use Unity 6.0 (6000.3.20f1)</t>
  </si>
  <si>
    <t>Check Editor version</t>
  </si>
  <si>
    <t>REQ-017</t>
  </si>
  <si>
    <t>Use ARFoundation 6.3.5</t>
  </si>
  <si>
    <t>Check manifest.json</t>
  </si>
  <si>
    <t>REQ-019</t>
  </si>
  <si>
    <t>GLBLoader.cs shall exist and parse .glb files</t>
  </si>
  <si>
    <t>Unity Console clean</t>
  </si>
  <si>
    <t>MISSING - must create</t>
  </si>
  <si>
    <t>REQ-020</t>
  </si>
  <si>
    <t>ModelSpawner.cs shall instantiate prefabs on image track</t>
  </si>
  <si>
    <t>Elephant spawns</t>
  </si>
  <si>
    <t>REQ-021</t>
  </si>
  <si>
    <t>AnimationController.cs shall play walk/idle anims</t>
  </si>
  <si>
    <t>Anim plays</t>
  </si>
  <si>
    <t>REQ-022</t>
  </si>
  <si>
    <t>iOS Swift bridge shall connect RN to Unity</t>
  </si>
  <si>
    <t>Bridge test</t>
  </si>
  <si>
    <t>REQ-029</t>
  </si>
  <si>
    <t>Demo</t>
  </si>
  <si>
    <t>Demo video (3 min) shall be recorded as backup</t>
  </si>
  <si>
    <t>Video file exists</t>
  </si>
  <si>
    <t>REQ-030</t>
  </si>
  <si>
    <t>Slides (5-7) shall explain architecture</t>
  </si>
  <si>
    <t>Slides file</t>
  </si>
  <si>
    <t>REQ-033</t>
  </si>
  <si>
    <t>Printed elephant image shall be on hand</t>
  </si>
  <si>
    <t>Print</t>
  </si>
  <si>
    <t>REQ-008</t>
  </si>
  <si>
    <t>On elephant tap, nutrition info shall display</t>
  </si>
  <si>
    <t>High</t>
  </si>
  <si>
    <t>Should</t>
  </si>
  <si>
    <t>Tap to show data</t>
  </si>
  <si>
    <t>REQ-010</t>
  </si>
  <si>
    <t>App shall handle no-internet state gracefully</t>
  </si>
  <si>
    <t>Turn off WiFi test</t>
  </si>
  <si>
    <t>REQ-012</t>
  </si>
  <si>
    <t>AR tracking shall lock onto image within 2 seconds</t>
  </si>
  <si>
    <t>Timer from detect to spawn</t>
  </si>
  <si>
    <t>REQ-018</t>
  </si>
  <si>
    <t>Use React Native 0.73+</t>
  </si>
  <si>
    <t>Check package.json</t>
  </si>
  <si>
    <t>REQ-023</t>
  </si>
  <si>
    <t>API service shall use fetch with error handling</t>
  </si>
  <si>
    <t>API call works</t>
  </si>
  <si>
    <t>REQ-024</t>
  </si>
  <si>
    <t>UX</t>
  </si>
  <si>
    <t>Home screen shall display lesson cards in grid</t>
  </si>
  <si>
    <t>Visual</t>
  </si>
  <si>
    <t>REQ-027</t>
  </si>
  <si>
    <t>AR camera shall have close button to exit</t>
  </si>
  <si>
    <t>Tap close</t>
  </si>
  <si>
    <t>REQ-031</t>
  </si>
  <si>
    <t>Demo script shall be rehearsed (3x)</t>
  </si>
  <si>
    <t>Practice run</t>
  </si>
  <si>
    <t>REQ-032</t>
  </si>
  <si>
    <t>Backup iPhone shall be charged and ready</t>
  </si>
  <si>
    <t>Charge + test</t>
  </si>
  <si>
    <t>REQ-009</t>
  </si>
  <si>
    <t>Audio shall play when elephant spawns</t>
  </si>
  <si>
    <t>Medium</t>
  </si>
  <si>
    <t>Listen for audio</t>
  </si>
  <si>
    <t>REQ-011</t>
  </si>
  <si>
    <t>App shall load Home screen in &lt; 3 seconds</t>
  </si>
  <si>
    <t>Timer test</t>
  </si>
  <si>
    <t>REQ-025</t>
  </si>
  <si>
    <t>Loading state shall show spinner during fetch</t>
  </si>
  <si>
    <t>REQ-026</t>
  </si>
  <si>
    <t>Error state shall show retry button</t>
  </si>
  <si>
    <t>REQ-034</t>
  </si>
  <si>
    <t>README shall explain how to run the app</t>
  </si>
  <si>
    <t>README exists</t>
  </si>
  <si>
    <t>REQ-028</t>
  </si>
  <si>
    <t>Nutrition info shall animate in (fade)</t>
  </si>
  <si>
    <t>Low</t>
  </si>
  <si>
    <t>Could</t>
  </si>
  <si>
    <t>WBS_ID</t>
  </si>
  <si>
    <t>Task_Name</t>
  </si>
  <si>
    <t>Description</t>
  </si>
  <si>
    <t>Effort_Hours</t>
  </si>
  <si>
    <t>Start_Date</t>
  </si>
  <si>
    <t>End_Date</t>
  </si>
  <si>
    <t>Predecessors</t>
  </si>
  <si>
    <t>Blockers</t>
  </si>
  <si>
    <t>Milestone</t>
  </si>
  <si>
    <t>1.1</t>
  </si>
  <si>
    <t>Verify Unity 6.0 installed</t>
  </si>
  <si>
    <t>Check Unity Hub for 6000.3.20f1</t>
  </si>
  <si>
    <t>1.2</t>
  </si>
  <si>
    <t>Run npm install in mobile/</t>
  </si>
  <si>
    <t>Install RN deps</t>
  </si>
  <si>
    <t>1.3</t>
  </si>
  <si>
    <t>Capture user inputs U-1 to U-10</t>
  </si>
  <si>
    <t>Get API URL and key info</t>
  </si>
  <si>
    <t>2.1</t>
  </si>
  <si>
    <t>Verify ARFoundation 6.3.5</t>
  </si>
  <si>
    <t>1.0</t>
  </si>
  <si>
    <t>2.2</t>
  </si>
  <si>
    <t>Verify RuntimeImageTrackingPOC.cs</t>
  </si>
  <si>
    <t>Check AF6 API usage</t>
  </si>
  <si>
    <t>2.3</t>
  </si>
  <si>
    <t>Verify ARSessionManager.cs</t>
  </si>
  <si>
    <t>2.4</t>
  </si>
  <si>
    <t>Verify AnchorManager.cs</t>
  </si>
  <si>
    <t>2.5</t>
  </si>
  <si>
    <t>Verify PlaneDetection.cs</t>
  </si>
  <si>
    <t>2.7</t>
  </si>
  <si>
    <t>Create GLBLoader.cs</t>
  </si>
  <si>
    <t>NEW - parse .glb files</t>
  </si>
  <si>
    <t>MISSING</t>
  </si>
  <si>
    <t>2.8</t>
  </si>
  <si>
    <t>Create ModelSpawner.cs</t>
  </si>
  <si>
    <t>NEW - instantiate prefabs</t>
  </si>
  <si>
    <t>2.9</t>
  </si>
  <si>
    <t>Create AnimationController.cs</t>
  </si>
  <si>
    <t>NEW - play animations</t>
  </si>
  <si>
    <t>2.10</t>
  </si>
  <si>
    <t>Test AR on iPhone</t>
  </si>
  <si>
    <t>Print elephant scan</t>
  </si>
  <si>
    <t>3.1</t>
  </si>
  <si>
    <t>Update RNMessageReceiver.cs</t>
  </si>
  <si>
    <t>Unity 6.x API</t>
  </si>
  <si>
    <t>2.0</t>
  </si>
  <si>
    <t>3.2</t>
  </si>
  <si>
    <t>Update RNEventEmitter.cs</t>
  </si>
  <si>
    <t>3.3</t>
  </si>
  <si>
    <t>Create iOS Swift bridge</t>
  </si>
  <si>
    <t>RNMessageReceiverBridge.swift</t>
  </si>
  <si>
    <t>3.4</t>
  </si>
  <si>
    <t>Test RN→Unity send message</t>
  </si>
  <si>
    <t>One-way bridge test</t>
  </si>
  <si>
    <t>3.5</t>
  </si>
  <si>
    <t>Test Unity→RN send message</t>
  </si>
  <si>
    <t>Other-way bridge test</t>
  </si>
  <si>
    <t>4.1</t>
  </si>
  <si>
    <t>Get API base URL from user</t>
  </si>
  <si>
    <t>Confirm endpoint</t>
  </si>
  <si>
    <t>API URL needed</t>
  </si>
  <si>
    <t>4.2</t>
  </si>
  <si>
    <t>Test API with curl</t>
  </si>
  <si>
    <t>Verify endpoint works</t>
  </si>
  <si>
    <t>4.3</t>
  </si>
  <si>
    <t>Create api.ts service</t>
  </si>
  <si>
    <t>RN fetch wrapper</t>
  </si>
  <si>
    <t>4.4</t>
  </si>
  <si>
    <t>Wire Home screen to API</t>
  </si>
  <si>
    <t>Fetch and display</t>
  </si>
  <si>
    <t>6.2</t>
  </si>
  <si>
    <t>Mac Day - Unity iOS build</t>
  </si>
  <si>
    <t>Generate Xcode project</t>
  </si>
  <si>
    <t>6.1</t>
  </si>
  <si>
    <t>Mac required</t>
  </si>
  <si>
    <t>6.3</t>
  </si>
  <si>
    <t>Mac Day - Xcode build</t>
  </si>
  <si>
    <t>Compile to .ipa</t>
  </si>
  <si>
    <t>6.4</t>
  </si>
  <si>
    <t>Install on iPhone</t>
  </si>
  <si>
    <t>Xcode local install</t>
  </si>
  <si>
    <t>6.5</t>
  </si>
  <si>
    <t>Smoke test on device</t>
  </si>
  <si>
    <t>Run app scan test</t>
  </si>
  <si>
    <t>7.1</t>
  </si>
  <si>
    <t>Bug fixes from on-device test</t>
  </si>
  <si>
    <t>Fix top 5 bugs</t>
  </si>
  <si>
    <t>7.6</t>
  </si>
  <si>
    <t>Print elephant image</t>
  </si>
  <si>
    <t>Test target</t>
  </si>
  <si>
    <t>7.7</t>
  </si>
  <si>
    <t>Final defense</t>
  </si>
  <si>
    <t>Present to committee</t>
  </si>
  <si>
    <t>7.5</t>
  </si>
  <si>
    <t>1.4</t>
  </si>
  <si>
    <t>Confirm Mac Day booked</t>
  </si>
  <si>
    <t>Schedule 1 Mac day</t>
  </si>
  <si>
    <t>2.6</t>
  </si>
  <si>
    <t>Verify ARGestureHandler.cs</t>
  </si>
  <si>
    <t>Check gesture handling</t>
  </si>
  <si>
    <t>4.5</t>
  </si>
  <si>
    <t>Add loading state</t>
  </si>
  <si>
    <t>Spinner component</t>
  </si>
  <si>
    <t>4.6</t>
  </si>
  <si>
    <t>Add error state</t>
  </si>
  <si>
    <t>Retry button</t>
  </si>
  <si>
    <t>5.1</t>
  </si>
  <si>
    <t>Home screen layout</t>
  </si>
  <si>
    <t>Grid of cards</t>
  </si>
  <si>
    <t>5.2</t>
  </si>
  <si>
    <t>AR camera screen</t>
  </si>
  <si>
    <t>Unity container</t>
  </si>
  <si>
    <t>5.3</t>
  </si>
  <si>
    <t>Food details screen</t>
  </si>
  <si>
    <t>Nutrition display</t>
  </si>
  <si>
    <t>5.4</t>
  </si>
  <si>
    <t>Add navigation</t>
  </si>
  <si>
    <t>React Navigation</t>
  </si>
  <si>
    <t>Pre-Mac prep</t>
  </si>
  <si>
    <t>Sync code to repo</t>
  </si>
  <si>
    <t>5.0</t>
  </si>
  <si>
    <t>7.2</t>
  </si>
  <si>
    <t>Record demo video (3 min)</t>
  </si>
  <si>
    <t>Backup video</t>
  </si>
  <si>
    <t>7.4</t>
  </si>
  <si>
    <t>Create slides (5-7)</t>
  </si>
  <si>
    <t>Architecture + demo</t>
  </si>
  <si>
    <t>Rehearse demo (3x)</t>
  </si>
  <si>
    <t>5.5</t>
  </si>
  <si>
    <t>Style polish</t>
  </si>
  <si>
    <t>Basic CSS</t>
  </si>
  <si>
    <t>7.3</t>
  </si>
  <si>
    <t>Write README</t>
  </si>
  <si>
    <t>How to run</t>
  </si>
  <si>
    <t>Day</t>
  </si>
  <si>
    <t>Date</t>
  </si>
  <si>
    <t>Day_Name</t>
  </si>
  <si>
    <t>Focus_Area</t>
  </si>
  <si>
    <t>Tasks_Today</t>
  </si>
  <si>
    <t>Hours_Logged</t>
  </si>
  <si>
    <t>EOD_Status</t>
  </si>
  <si>
    <t>1</t>
  </si>
  <si>
    <t>Saturday</t>
  </si>
  <si>
    <t>Foundation</t>
  </si>
  <si>
    <t>Verify Unity; npm install; capture inputs; book Mac Day; print elephant</t>
  </si>
  <si>
    <t>2</t>
  </si>
  <si>
    <t>Monday</t>
  </si>
  <si>
    <t>Unity Foundation</t>
  </si>
  <si>
    <t>Verify manifest.json; verify 5 C# scripts</t>
  </si>
  <si>
    <t>3</t>
  </si>
  <si>
    <t>Tuesday</t>
  </si>
  <si>
    <t>Unity Scripts</t>
  </si>
  <si>
    <t>Create GLBLoader; create ModelSpawner; create AnimationController</t>
  </si>
  <si>
    <t>4</t>
  </si>
  <si>
    <t>Wednesday</t>
  </si>
  <si>
    <t>AR Test</t>
  </si>
  <si>
    <t>Open Unity; check Console; test AR on iPhone with elephant printout</t>
  </si>
  <si>
    <t>5</t>
  </si>
  <si>
    <t>Thursday</t>
  </si>
  <si>
    <t>Bridge</t>
  </si>
  <si>
    <t>Update RNMessageReceiver; update RNEventEmitter; create iOS Swift bridge</t>
  </si>
  <si>
    <t>6</t>
  </si>
  <si>
    <t>Friday</t>
  </si>
  <si>
    <t>Bridge Test</t>
  </si>
  <si>
    <t>Test RN→Unity; test Unity→RN; verify 2-way bridge</t>
  </si>
  <si>
    <t>7</t>
  </si>
  <si>
    <t>API Setup</t>
  </si>
  <si>
    <t>Get API URL; test with curl; create api.ts; wire Home screen</t>
  </si>
  <si>
    <t>8</t>
  </si>
  <si>
    <t>Sunday</t>
  </si>
  <si>
    <t>API Integration</t>
  </si>
  <si>
    <t>Add loading state; add error state; verify data flows</t>
  </si>
  <si>
    <t>9</t>
  </si>
  <si>
    <t>UI Screens</t>
  </si>
  <si>
    <t>Home screen; AR camera screen; Food details screen</t>
  </si>
  <si>
    <t>10</t>
  </si>
  <si>
    <t>UI Polish</t>
  </si>
  <si>
    <t>Add React Navigation; style polish; verify 3 screens</t>
  </si>
  <si>
    <t>11</t>
  </si>
  <si>
    <t>Final code review; commit to git; tag v1.0</t>
  </si>
  <si>
    <t>12</t>
  </si>
  <si>
    <t>Pre-Mac Prep</t>
  </si>
  <si>
    <t>Sync code; verify Mac access; pre-build check</t>
  </si>
  <si>
    <t>13</t>
  </si>
  <si>
    <t>Unity iOS build; Xcode compile; install on iPhone; smoke test</t>
  </si>
  <si>
    <t>14</t>
  </si>
  <si>
    <t>Bug Fixes</t>
  </si>
  <si>
    <t>Test on real device; fix top 5 bugs; re-test</t>
  </si>
  <si>
    <t>15</t>
  </si>
  <si>
    <t>Demo Video</t>
  </si>
  <si>
    <t>Record 3-min demo video; save as backup</t>
  </si>
  <si>
    <t>16</t>
  </si>
  <si>
    <t>README</t>
  </si>
  <si>
    <t>Write README; architecture doc; setup instructions</t>
  </si>
  <si>
    <t>17</t>
  </si>
  <si>
    <t>Slides</t>
  </si>
  <si>
    <t>Create 5-7 slides; architecture diagram; demo flow</t>
  </si>
  <si>
    <t>18</t>
  </si>
  <si>
    <t>Rehearsal</t>
  </si>
  <si>
    <t>Practice demo 3x; print elephant; charge spare phone</t>
  </si>
  <si>
    <t>19</t>
  </si>
  <si>
    <t>Final Prep</t>
  </si>
  <si>
    <t>Charge all devices; backup iPhone ready; video ready</t>
  </si>
  <si>
    <t>Defense</t>
  </si>
  <si>
    <t>Present to committee; demo live; answer questions</t>
  </si>
  <si>
    <t>Risk_ID</t>
  </si>
  <si>
    <t>Risk_Description</t>
  </si>
  <si>
    <t>Probability</t>
  </si>
  <si>
    <t>Impact</t>
  </si>
  <si>
    <t>Risk_Score</t>
  </si>
  <si>
    <t>Mitigation_Strategy</t>
  </si>
  <si>
    <t>Contingency_Plan</t>
  </si>
  <si>
    <t>Owner</t>
  </si>
  <si>
    <t>R-016</t>
  </si>
  <si>
    <t>Missing C# scripts not discovered</t>
  </si>
  <si>
    <t>Inventory repo Day 1; create GLBLoader/ModelSpawner/AnimationController Day 3</t>
  </si>
  <si>
    <t>Use placeholder scripts</t>
  </si>
  <si>
    <t>Open</t>
  </si>
  <si>
    <t>Known gap</t>
  </si>
  <si>
    <t>R-014</t>
  </si>
  <si>
    <t>Time overrun on critical path</t>
  </si>
  <si>
    <t>Schedule</t>
  </si>
  <si>
    <t>Daily standups; early escalation</t>
  </si>
  <si>
    <t>Cut scope to 1 model only</t>
  </si>
  <si>
    <t>Most likely risk</t>
  </si>
  <si>
    <t>R-017</t>
  </si>
  <si>
    <t>Bugs found late in Mac Day</t>
  </si>
  <si>
    <t>Pre-Mac prep on Day 12</t>
  </si>
  <si>
    <t>Patch and ship anyway</t>
  </si>
  <si>
    <t>R-002</t>
  </si>
  <si>
    <t>Mac not available for build</t>
  </si>
  <si>
    <t>Book Mac Day now; have backup Mac identified</t>
  </si>
  <si>
    <t>Skip iOS build use Android</t>
  </si>
  <si>
    <t>Critical gate</t>
  </si>
  <si>
    <t>R-003</t>
  </si>
  <si>
    <t>API URL not provided</t>
  </si>
  <si>
    <t>External</t>
  </si>
  <si>
    <t>Ask user for U-1 on Day 1</t>
  </si>
  <si>
    <t>Use mock data with hardcoded responses</t>
  </si>
  <si>
    <t>Blocker for Day 7</t>
  </si>
  <si>
    <t>R-008</t>
  </si>
  <si>
    <t>iOS code signing fails</t>
  </si>
  <si>
    <t>Set up Apple ID Day 1; verify certs</t>
  </si>
  <si>
    <t>Use development cert workaround</t>
  </si>
  <si>
    <t>Mac Day critical</t>
  </si>
  <si>
    <t>R-011</t>
  </si>
  <si>
    <t>Unity-RN bridge doesn't communicate</t>
  </si>
  <si>
    <t>Test bridge Day 6 with simple message</t>
  </si>
  <si>
    <t>Use deep linking as fallback</t>
  </si>
  <si>
    <t>Critical for demo</t>
  </si>
  <si>
    <t>R-012</t>
  </si>
  <si>
    <t>iOS .ipa install fails on device</t>
  </si>
  <si>
    <t>Test install Day 7 immediately</t>
  </si>
  <si>
    <t>Use simulator for demo</t>
  </si>
  <si>
    <t>R-013</t>
  </si>
  <si>
    <t>App crashes during demo</t>
  </si>
  <si>
    <t>Stress test Day 14; record backup video</t>
  </si>
  <si>
    <t>Show video instead of live demo</t>
  </si>
  <si>
    <t>R-018</t>
  </si>
  <si>
    <t>Build environment misconfigured</t>
  </si>
  <si>
    <t>Test build Day 3 to fail fast</t>
  </si>
  <si>
    <t>Rebuild from scratch</t>
  </si>
  <si>
    <t>R-001</t>
  </si>
  <si>
    <t>Unity 6000.3.20f1 not installed</t>
  </si>
  <si>
    <t>Install via Unity Hub early on Day 1</t>
  </si>
  <si>
    <t>Use alternative version</t>
  </si>
  <si>
    <t>Low risk - quick fix</t>
  </si>
  <si>
    <t>R-004</t>
  </si>
  <si>
    <t>API endpoint changes during sprint</t>
  </si>
  <si>
    <t>Lock API spec before Day 7</t>
  </si>
  <si>
    <t>Use cached response data</t>
  </si>
  <si>
    <t>R-005</t>
  </si>
  <si>
    <t>Elephant .glb model incompatible</t>
  </si>
  <si>
    <t>Test import in Unity Day 1</t>
  </si>
  <si>
    <t>Use cube primitive as fallback</t>
  </si>
  <si>
    <t>Quick check Day 1</t>
  </si>
  <si>
    <t>R-006</t>
  </si>
  <si>
    <t>Jungle scene missing or broken</t>
  </si>
  <si>
    <t>Verify scene exists Day 1</t>
  </si>
  <si>
    <t>Use simple plane background</t>
  </si>
  <si>
    <t>R-007</t>
  </si>
  <si>
    <t>ARFoundation 6.3.5 package not resolving</t>
  </si>
  <si>
    <t>Verify manifest.json Day 2</t>
  </si>
  <si>
    <t>Downgrade to 6.3.4</t>
  </si>
  <si>
    <t>R-009</t>
  </si>
  <si>
    <t>iPhone device not available</t>
  </si>
  <si>
    <t>Resource</t>
  </si>
  <si>
    <t>Confirm iPhone + iOS version Day 1</t>
  </si>
  <si>
    <t>Borrow friend's iPhone</t>
  </si>
  <si>
    <t>Required for testing</t>
  </si>
  <si>
    <t>R-010</t>
  </si>
  <si>
    <t>ARKit not supported on test device</t>
  </si>
  <si>
    <t>Check device compatibility Day 1</t>
  </si>
  <si>
    <t>Use Android with ARCore instead</t>
  </si>
  <si>
    <t>Need A12+ chip</t>
  </si>
  <si>
    <t>R-015</t>
  </si>
  <si>
    <t>Scope creep mid-sprint</t>
  </si>
  <si>
    <t>Lock scope at M6 code freeze</t>
  </si>
  <si>
    <t>Reject new features</t>
  </si>
  <si>
    <t>R-019</t>
  </si>
  <si>
    <t>Egypt timezone conflict for support</t>
  </si>
  <si>
    <t>Plan ahead; batch questions</t>
  </si>
  <si>
    <t>Proceed with defaults</t>
  </si>
  <si>
    <t>R-020</t>
  </si>
  <si>
    <t>Printer not available for elephant image</t>
  </si>
  <si>
    <t>Confirm printer Day 1</t>
  </si>
  <si>
    <t>Print at copy shop</t>
  </si>
  <si>
    <t>Required Day 18</t>
  </si>
  <si>
    <t>AR Engine Build Tracker — Gantt Timeline</t>
  </si>
  <si>
    <t>Timeline: 2026-07-25 to 2026-08-19 | Mac Day: 2026-08-07</t>
  </si>
  <si>
    <t>Task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</si>
  <si>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</si>
  <si>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</si>
  <si>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</si>
  <si>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</si>
  <si>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</si>
  <si>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</si>
  <si>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</si>
  <si>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</si>
  <si>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</si>
  <si>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</si>
  <si>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</si>
  <si>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</si>
  <si>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</si>
  <si>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</si>
  <si>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</si>
  <si>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</si>
  <si>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</si>
  <si>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</si>
  <si>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</si>
  <si>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</si>
  <si>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</si>
  <si>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</si>
  <si>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</si>
  <si>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</si>
  <si>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</si>
  <si>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</si>
  <si>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1.1 Verify Unity 6.0 installed</t>
  </si>
  <si>
    <t>✓</t>
  </si>
  <si>
    <t>1.2 Run npm install in mobile/</t>
  </si>
  <si>
    <t>1.3 Capture user inputs U-1 to U-10</t>
  </si>
  <si>
    <t>2.1 Verify ARFoundation 6.3.5</t>
  </si>
  <si>
    <t>2.2 Verify RuntimeImageTrackingPOC.cs</t>
  </si>
  <si>
    <t>2.3 Verify ARSessionManager.cs</t>
  </si>
  <si>
    <t>2.4 Verify AnchorManager.cs</t>
  </si>
  <si>
    <t>2.5 Verify PlaneDetection.cs</t>
  </si>
  <si>
    <t>2.7 Create GLBLoader.cs</t>
  </si>
  <si>
    <t>2.8 Create ModelSpawner.cs</t>
  </si>
  <si>
    <t>2.9 Create AnimationController.cs</t>
  </si>
  <si>
    <t>2.10 Test AR on iPhone</t>
  </si>
  <si>
    <t>3.1 Update RNMessageReceiver.cs</t>
  </si>
  <si>
    <t>3.2 Update RNEventEmitter.cs</t>
  </si>
  <si>
    <t>3.3 Create iOS Swift bridge</t>
  </si>
  <si>
    <t>3.4 Test RN→Unity send message</t>
  </si>
  <si>
    <t>3.5 Test Unity→RN send message</t>
  </si>
  <si>
    <t>4.1 Get API base URL from user</t>
  </si>
  <si>
    <t>4.2 Test API with curl</t>
  </si>
  <si>
    <t>4.3 Create api.ts service</t>
  </si>
  <si>
    <t>4.4 Wire Home screen to API</t>
  </si>
  <si>
    <t>6.2 Mac Day - Unity iOS build</t>
  </si>
  <si>
    <t>6.3 Mac Day - Xcode build</t>
  </si>
  <si>
    <t>6.4 Install on iPhone</t>
  </si>
  <si>
    <t>6.5 Smoke test on device</t>
  </si>
  <si>
    <t>7.1 Bug fixes from on-device test</t>
  </si>
  <si>
    <t>7.6 Print elephant image</t>
  </si>
  <si>
    <t>7.7 Final defense</t>
  </si>
  <si>
    <t>1.4 Confirm Mac Day booked</t>
  </si>
  <si>
    <t>2.6 Verify ARGestureHandler.cs</t>
  </si>
  <si>
    <t>4.5 Add loading state</t>
  </si>
  <si>
    <t>4.6 Add error state</t>
  </si>
  <si>
    <t>5.1 Home screen layout</t>
  </si>
  <si>
    <t>5.2 AR camera screen</t>
  </si>
  <si>
    <t>5.3 Food details screen</t>
  </si>
  <si>
    <t>5.4 Add navigation</t>
  </si>
  <si>
    <t>6.1 Pre-Mac prep</t>
  </si>
  <si>
    <t>7.2 Record demo video (3 min)</t>
  </si>
  <si>
    <t>7.4 Create slides (5-7)</t>
  </si>
  <si>
    <t>Legend</t>
  </si>
  <si>
    <t>M0 — Foundation Audit</t>
  </si>
  <si>
    <t>M1 — Foundation Complete</t>
  </si>
  <si>
    <t>M2 — Unity AR Working</t>
  </si>
  <si>
    <t>M3 — Bridge Functional</t>
  </si>
  <si>
    <t>M4 — API Integrated</t>
  </si>
  <si>
    <t>M5 — UI Complete</t>
  </si>
  <si>
    <t>M6 — Code Freeze</t>
  </si>
  <si>
    <t>M7 — Demo Ready</t>
  </si>
  <si>
    <t>5.5 Style polish</t>
  </si>
  <si>
    <t>7.3 Write README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</si>
</sst>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1F4E78"/>
      <name val="Calibri"/>
    </font>
    <font>
      <b/>
      <sz val="16"/>
      <color rgb="FFFFFFFF"/>
      <name val="Calibri"/>
    </font>
    <font>
      <i/>
      <sz val="11"/>
      <color rgb="FF1F4E78"/>
      <name val="Calibri"/>
    </font>
    <font>
      <b/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B4C7E7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4B084"/>
      </patternFill>
    </fill>
    <fill>
      <patternFill patternType="solid">
        <fgColor rgb="FFB4A7D6"/>
      </patternFill>
    </fill>
    <fill>
      <patternFill patternType="solid">
        <fgColor rgb="FFD9D9D9"/>
      </patternFill>
    </fill>
    <fill>
      <patternFill patternType="solid">
        <fgColor rgb="FFF8CBAD"/>
      </patternFill>
    </fill>
    <fill>
      <patternFill patternType="solid">
        <fgColor rgb="FF5B9BD5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1" fontId="0" fillId="0" borderId="2" xfId="0" applyNumberFormat="1" applyBorder="1" applyAlignment="1">
      <alignment vertical="top" wrapText="1"/>
    </xf>
    <xf numFmtId="0" fontId="0" fillId="0" borderId="2" xfId="0" applyBorder="1" applyAlignment="1">
      <alignment vertical="top" wrapText="1"/>
    </xf>
    <xf numFmtId="9" fontId="0" fillId="0" borderId="2" xfId="0" applyNumberFormat="1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0" fontId="5" fillId="2" borderId="1" xfId="0" applyFont="1" applyFill="1" applyBorder="1"/>
    <xf numFmtId="164" fontId="5" fillId="2" borderId="1" xfId="0" applyNumberFormat="1" applyFont="1" applyFill="1" applyBorder="1" applyAlignment="1">
      <alignment horizontal="center" vertical="center" textRotation="90"/>
    </xf>
    <xf numFmtId="0" fontId="5" fillId="11" borderId="1" xfId="0" applyFont="1" applyFill="1" applyBorder="1"/>
    <xf numFmtId="0" fontId="5" fillId="11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0" fillId="0" borderId="2" xfId="0" applyBorder="1"/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0" fillId="3" borderId="2" xfId="0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6" borderId="2" xfId="0" applyFill="1" applyBorder="1" applyAlignment="1">
      <alignment wrapText="1"/>
    </xf>
    <xf numFmtId="0" fontId="0" fillId="7" borderId="2" xfId="0" applyFill="1" applyBorder="1" applyAlignment="1">
      <alignment wrapText="1"/>
    </xf>
    <xf numFmtId="0" fontId="0" fillId="10" borderId="2" xfId="0" applyFill="1" applyBorder="1" applyAlignment="1">
      <alignment wrapText="1"/>
    </xf>
    <xf numFmtId="0" fontId="0" fillId="8" borderId="2" xfId="0" applyFill="1" applyBorder="1" applyAlignment="1">
      <alignment wrapText="1"/>
    </xf>
    <xf numFmtId="0" fontId="0" fillId="9" borderId="2" xfId="0" applyFill="1" applyBorder="1" applyAlignment="1">
      <alignment wrapText="1"/>
    </xf>
    <xf numFmtId="0" fontId="3" fillId="2" borderId="0" xfId="0" applyFont="1" applyFill="1" applyAlignment="1">
      <alignment horizontal="center"/>
    </xf>
    <xf numFmtId="0" fontId="0" fillId="0" borderId="0" xfId="0"/>
    <xf numFmtId="0" fontId="4" fillId="0" borderId="0" xfId="0" applyFont="1"/>
  </cellXfs>
  <cellStyles count="1">
    <cellStyle name="Normal" xfId="0" builtinId="0"/>
  </cellStyles>
  <dxfs count="47">
    <dxf>
      <fill>
        <patternFill patternType="solid">
          <fgColor rgb="FFD9D9D9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1F4E78"/>
      </font>
      <fill>
        <patternFill patternType="solid">
          <fgColor rgb="FFD9E1F2"/>
        </patternFill>
      </fill>
    </dxf>
    <dxf>
      <font>
        <color rgb="FF7F6000"/>
      </font>
      <fill>
        <patternFill patternType="solid">
          <fgColor rgb="FFFFF2CC"/>
        </patternFill>
      </fill>
    </dxf>
    <dxf>
      <font>
        <color rgb="FF9C5700"/>
      </font>
      <fill>
        <patternFill patternType="solid">
          <fgColor rgb="FFFFEB9C"/>
        </patternFill>
      </fill>
    </dxf>
    <dxf>
      <font>
        <color rgb="FF9C0006"/>
      </font>
      <fill>
        <patternFill patternType="solid">
          <fgColor rgb="FFFFC7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595959"/>
      </font>
      <fill>
        <patternFill patternType="solid">
          <fgColor rgb="FFF2F2F2"/>
        </patternFill>
      </fill>
    </dxf>
    <dxf>
      <font>
        <color rgb="FF006100"/>
      </font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595959"/>
      </font>
      <fill>
        <patternFill patternType="solid">
          <fgColor rgb="FFF2F2F2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1F4E78"/>
      </font>
      <fill>
        <patternFill patternType="solid">
          <fgColor rgb="FFD9E1F2"/>
        </patternFill>
      </fill>
    </dxf>
    <dxf>
      <font>
        <color rgb="FF7F6000"/>
      </font>
      <fill>
        <patternFill patternType="solid">
          <fgColor rgb="FFFFF2CC"/>
        </patternFill>
      </fill>
    </dxf>
    <dxf>
      <font>
        <color rgb="FF9C5700"/>
      </font>
      <fill>
        <patternFill patternType="solid">
          <fgColor rgb="FFFFEB9C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595959"/>
      </font>
      <fill>
        <patternFill patternType="solid">
          <fgColor rgb="FFF2F2F2"/>
        </patternFill>
      </fill>
    </dxf>
    <dxf>
      <font>
        <color rgb="FF006100"/>
      </font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1F4E78"/>
      </font>
      <fill>
        <patternFill patternType="solid">
          <fgColor rgb="FFD9E1F2"/>
        </patternFill>
      </fill>
    </dxf>
    <dxf>
      <font>
        <color rgb="FF7F6000"/>
      </font>
      <fill>
        <patternFill patternType="solid">
          <fgColor rgb="FFFFF2CC"/>
        </patternFill>
      </fill>
    </dxf>
    <dxf>
      <font>
        <color rgb="FF9C5700"/>
      </font>
      <fill>
        <patternFill patternType="solid">
          <fgColor rgb="FFFFEB9C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595959"/>
      </font>
      <fill>
        <patternFill patternType="solid">
          <fgColor rgb="FFF2F2F2"/>
        </patternFill>
      </fill>
    </dxf>
    <dxf>
      <font>
        <color rgb="FF006100"/>
      </font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595959"/>
      </font>
      <fill>
        <patternFill patternType="solid">
          <fgColor rgb="FFF2F2F2"/>
        </patternFill>
      </fill>
    </dxf>
    <dxf>
      <font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1"/>
  <sheetViews>
    <sheetView showGridLines="0" workbookViewId="0">
      <pane ySplit="3" topLeftCell="A4" activePane="bottomLeft" state="frozen"/>
      <selection pane="bottomLeft" activeCell="C13" sqref="C13"/>
    </sheetView>
  </sheetViews>
  <sheetFormatPr defaultRowHeight="14.25" x14ac:dyDescent="0.45"/>
  <cols>
    <col min="1" max="1" width="25" customWidth="1"/>
    <col min="2" max="2" width="18" customWidth="1"/>
    <col min="3" max="3" width="20" customWidth="1"/>
    <col min="4" max="4" width="35" customWidth="1"/>
  </cols>
  <sheetData>
    <row r="1" spans="1:4" ht="21" x14ac:dyDescent="0.65">
      <c r="A1" s="31" t="s">
        <v>0</v>
      </c>
      <c r="B1" s="32"/>
      <c r="C1" s="32"/>
      <c r="D1" s="32"/>
    </row>
    <row r="3" spans="1:4" ht="25.05" customHeight="1" x14ac:dyDescent="0.45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45">
      <c r="A4" s="2" t="s">
        <v>5</v>
      </c>
      <c r="B4" s="3">
        <f>COUNTA('WBS Checklist'!A2:A38)</f>
        <v>37</v>
      </c>
      <c r="C4" s="4" t="s">
        <v>6</v>
      </c>
      <c r="D4" s="4" t="s">
        <v>7</v>
      </c>
    </row>
    <row r="5" spans="1:4" x14ac:dyDescent="0.45">
      <c r="A5" s="2" t="s">
        <v>8</v>
      </c>
      <c r="B5" s="3">
        <f>COUNTIF('WBS Checklist'!I:I,TRUE)</f>
        <v>0</v>
      </c>
      <c r="C5" s="4" t="s">
        <v>6</v>
      </c>
      <c r="D5" s="4" t="s">
        <v>7</v>
      </c>
    </row>
    <row r="6" spans="1:4" x14ac:dyDescent="0.45">
      <c r="A6" s="2" t="s">
        <v>9</v>
      </c>
      <c r="B6" s="3">
        <f>COUNTIF('WBS Checklist'!I:I,FALSE)</f>
        <v>42</v>
      </c>
      <c r="C6" s="4" t="s">
        <v>6</v>
      </c>
      <c r="D6" s="4" t="s">
        <v>7</v>
      </c>
    </row>
    <row r="7" spans="1:4" x14ac:dyDescent="0.45">
      <c r="A7" s="2" t="s">
        <v>10</v>
      </c>
      <c r="B7" s="5">
        <f>IFERROR(B4/B3,0)</f>
        <v>0</v>
      </c>
      <c r="C7" s="4" t="s">
        <v>6</v>
      </c>
      <c r="D7" s="4" t="s">
        <v>7</v>
      </c>
    </row>
    <row r="8" spans="1:4" x14ac:dyDescent="0.45">
      <c r="A8" s="2" t="s">
        <v>11</v>
      </c>
      <c r="B8" s="3">
        <f>COUNTA(Requirements!A2:A35)</f>
        <v>34</v>
      </c>
      <c r="C8" s="4" t="s">
        <v>6</v>
      </c>
      <c r="D8" s="4" t="s">
        <v>7</v>
      </c>
    </row>
    <row r="9" spans="1:4" x14ac:dyDescent="0.45">
      <c r="A9" s="2" t="s">
        <v>12</v>
      </c>
      <c r="B9" s="3">
        <f>COUNTIF(Requirements!D:D,"Critical")</f>
        <v>19</v>
      </c>
      <c r="C9" s="4" t="s">
        <v>6</v>
      </c>
      <c r="D9" s="4" t="s">
        <v>7</v>
      </c>
    </row>
    <row r="10" spans="1:4" x14ac:dyDescent="0.45">
      <c r="A10" s="2" t="s">
        <v>13</v>
      </c>
      <c r="B10" s="3">
        <f>COUNTIF('Risk Register'!F:F,"Critical")</f>
        <v>1</v>
      </c>
      <c r="C10" s="4" t="s">
        <v>6</v>
      </c>
      <c r="D10" s="4" t="s">
        <v>7</v>
      </c>
    </row>
    <row r="11" spans="1:4" x14ac:dyDescent="0.45">
      <c r="A11" s="2" t="s">
        <v>14</v>
      </c>
      <c r="B11" s="3">
        <f ca="1">DATE(2026,8,7)-TODAY()</f>
        <v>13</v>
      </c>
      <c r="C11" s="4" t="s">
        <v>6</v>
      </c>
      <c r="D11" s="4" t="s">
        <v>7</v>
      </c>
    </row>
  </sheetData>
  <autoFilter ref="A1:D3" xr:uid="{00000000-0009-0000-0000-000000000000}"/>
  <mergeCells count="1">
    <mergeCell ref="A1:D1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12"/>
  <sheetViews>
    <sheetView showGridLines="0" workbookViewId="0">
      <pane ySplit="1" topLeftCell="A2" activePane="bottomLeft" state="frozen"/>
      <selection pane="bottomLeft" activeCell="D22" sqref="D22"/>
    </sheetView>
  </sheetViews>
  <sheetFormatPr defaultRowHeight="14.25" x14ac:dyDescent="0.45"/>
  <cols>
    <col min="1" max="1" width="25" customWidth="1"/>
    <col min="2" max="2" width="55" customWidth="1"/>
  </cols>
  <sheetData>
    <row r="1" spans="1:2" ht="25.05" customHeight="1" x14ac:dyDescent="0.45">
      <c r="A1" s="1" t="s">
        <v>15</v>
      </c>
      <c r="B1" s="1" t="s">
        <v>2</v>
      </c>
    </row>
    <row r="2" spans="1:2" x14ac:dyDescent="0.45">
      <c r="A2" s="2" t="s">
        <v>16</v>
      </c>
      <c r="B2" s="4" t="s">
        <v>17</v>
      </c>
    </row>
    <row r="3" spans="1:2" x14ac:dyDescent="0.45">
      <c r="A3" s="2" t="s">
        <v>18</v>
      </c>
      <c r="B3" s="4" t="s">
        <v>19</v>
      </c>
    </row>
    <row r="4" spans="1:2" x14ac:dyDescent="0.45">
      <c r="A4" s="2" t="s">
        <v>20</v>
      </c>
      <c r="B4" s="6">
        <v>46228</v>
      </c>
    </row>
    <row r="5" spans="1:2" x14ac:dyDescent="0.45">
      <c r="A5" s="2" t="s">
        <v>21</v>
      </c>
      <c r="B5" s="4" t="s">
        <v>22</v>
      </c>
    </row>
    <row r="6" spans="1:2" x14ac:dyDescent="0.45">
      <c r="A6" s="2" t="s">
        <v>23</v>
      </c>
      <c r="B6" s="4" t="s">
        <v>24</v>
      </c>
    </row>
    <row r="7" spans="1:2" x14ac:dyDescent="0.45">
      <c r="A7" s="2" t="s">
        <v>25</v>
      </c>
      <c r="B7" s="4" t="s">
        <v>26</v>
      </c>
    </row>
    <row r="8" spans="1:2" x14ac:dyDescent="0.45">
      <c r="A8" s="2" t="s">
        <v>27</v>
      </c>
      <c r="B8" s="4" t="s">
        <v>28</v>
      </c>
    </row>
    <row r="9" spans="1:2" x14ac:dyDescent="0.45">
      <c r="A9" s="2" t="s">
        <v>29</v>
      </c>
      <c r="B9" s="4" t="s">
        <v>30</v>
      </c>
    </row>
    <row r="10" spans="1:2" x14ac:dyDescent="0.45">
      <c r="A10" s="2" t="s">
        <v>31</v>
      </c>
      <c r="B10" s="6">
        <v>46253</v>
      </c>
    </row>
    <row r="11" spans="1:2" x14ac:dyDescent="0.45">
      <c r="A11" s="2" t="s">
        <v>32</v>
      </c>
      <c r="B11" s="4" t="s">
        <v>33</v>
      </c>
    </row>
    <row r="12" spans="1:2" x14ac:dyDescent="0.45">
      <c r="A12" s="2" t="s">
        <v>34</v>
      </c>
      <c r="B12" s="4" t="s">
        <v>35</v>
      </c>
    </row>
  </sheetData>
  <autoFilter ref="A1:B12" xr:uid="{00000000-0009-0000-0000-000001000000}"/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9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1" customWidth="1"/>
    <col min="3" max="3" width="14" customWidth="1"/>
    <col min="4" max="5" width="12" customWidth="1"/>
    <col min="6" max="6" width="15" customWidth="1"/>
    <col min="7" max="7" width="28" customWidth="1"/>
    <col min="8" max="9" width="12" customWidth="1"/>
    <col min="10" max="10" width="14" customWidth="1"/>
  </cols>
  <sheetData>
    <row r="1" spans="1:10" ht="25.05" customHeight="1" x14ac:dyDescent="0.4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29</v>
      </c>
      <c r="G1" s="1" t="s">
        <v>41</v>
      </c>
      <c r="H1" s="1" t="s">
        <v>42</v>
      </c>
      <c r="I1" s="1" t="s">
        <v>43</v>
      </c>
      <c r="J1" s="1" t="s">
        <v>4</v>
      </c>
    </row>
    <row r="2" spans="1:10" x14ac:dyDescent="0.45">
      <c r="A2" s="4" t="s">
        <v>44</v>
      </c>
      <c r="B2" s="4" t="s">
        <v>45</v>
      </c>
      <c r="C2" s="6">
        <v>46228</v>
      </c>
      <c r="D2" s="4" t="b">
        <v>0</v>
      </c>
      <c r="E2" s="4">
        <v>0</v>
      </c>
      <c r="F2" s="4" t="s">
        <v>46</v>
      </c>
      <c r="G2" s="4" t="s">
        <v>47</v>
      </c>
      <c r="H2" s="4" t="s">
        <v>48</v>
      </c>
      <c r="I2" s="4" t="b">
        <v>0</v>
      </c>
      <c r="J2" s="4" t="s">
        <v>49</v>
      </c>
    </row>
    <row r="3" spans="1:10" x14ac:dyDescent="0.45">
      <c r="A3" s="4" t="s">
        <v>50</v>
      </c>
      <c r="B3" s="4" t="s">
        <v>51</v>
      </c>
      <c r="C3" s="6">
        <v>46230</v>
      </c>
      <c r="D3" s="4" t="b">
        <v>0</v>
      </c>
      <c r="E3" s="4">
        <v>0</v>
      </c>
      <c r="F3" s="4" t="s">
        <v>46</v>
      </c>
      <c r="G3" s="4" t="s">
        <v>44</v>
      </c>
      <c r="H3" s="4" t="s">
        <v>48</v>
      </c>
      <c r="I3" s="4" t="b">
        <v>0</v>
      </c>
      <c r="J3" s="4" t="s">
        <v>52</v>
      </c>
    </row>
    <row r="4" spans="1:10" x14ac:dyDescent="0.45">
      <c r="A4" s="4" t="s">
        <v>53</v>
      </c>
      <c r="B4" s="4" t="s">
        <v>54</v>
      </c>
      <c r="C4" s="6">
        <v>46232</v>
      </c>
      <c r="D4" s="4" t="b">
        <v>0</v>
      </c>
      <c r="E4" s="4">
        <v>0</v>
      </c>
      <c r="F4" s="4" t="s">
        <v>46</v>
      </c>
      <c r="G4" s="4" t="s">
        <v>50</v>
      </c>
      <c r="H4" s="4" t="s">
        <v>48</v>
      </c>
      <c r="I4" s="4" t="b">
        <v>0</v>
      </c>
      <c r="J4" s="4" t="s">
        <v>55</v>
      </c>
    </row>
    <row r="5" spans="1:10" x14ac:dyDescent="0.45">
      <c r="A5" s="4" t="s">
        <v>56</v>
      </c>
      <c r="B5" s="4" t="s">
        <v>57</v>
      </c>
      <c r="C5" s="6">
        <v>46234</v>
      </c>
      <c r="D5" s="4" t="b">
        <v>0</v>
      </c>
      <c r="E5" s="4">
        <v>0</v>
      </c>
      <c r="F5" s="4" t="s">
        <v>46</v>
      </c>
      <c r="G5" s="4" t="s">
        <v>53</v>
      </c>
      <c r="H5" s="4" t="s">
        <v>48</v>
      </c>
      <c r="I5" s="4" t="b">
        <v>0</v>
      </c>
      <c r="J5" s="4" t="s">
        <v>58</v>
      </c>
    </row>
    <row r="6" spans="1:10" x14ac:dyDescent="0.45">
      <c r="A6" s="4" t="s">
        <v>59</v>
      </c>
      <c r="B6" s="4" t="s">
        <v>60</v>
      </c>
      <c r="C6" s="6">
        <v>46237</v>
      </c>
      <c r="D6" s="4" t="b">
        <v>0</v>
      </c>
      <c r="E6" s="4">
        <v>0</v>
      </c>
      <c r="F6" s="4" t="s">
        <v>46</v>
      </c>
      <c r="G6" s="4" t="s">
        <v>56</v>
      </c>
      <c r="H6" s="4" t="s">
        <v>48</v>
      </c>
      <c r="I6" s="4" t="b">
        <v>0</v>
      </c>
      <c r="J6" s="4" t="s">
        <v>61</v>
      </c>
    </row>
    <row r="7" spans="1:10" x14ac:dyDescent="0.45">
      <c r="A7" s="4" t="s">
        <v>62</v>
      </c>
      <c r="B7" s="4" t="s">
        <v>63</v>
      </c>
      <c r="C7" s="6">
        <v>46239</v>
      </c>
      <c r="D7" s="4" t="b">
        <v>0</v>
      </c>
      <c r="E7" s="4">
        <v>0</v>
      </c>
      <c r="F7" s="4" t="s">
        <v>46</v>
      </c>
      <c r="G7" s="4" t="s">
        <v>59</v>
      </c>
      <c r="H7" s="4" t="s">
        <v>48</v>
      </c>
      <c r="I7" s="4" t="b">
        <v>0</v>
      </c>
      <c r="J7" s="4" t="s">
        <v>64</v>
      </c>
    </row>
    <row r="8" spans="1:10" x14ac:dyDescent="0.45">
      <c r="A8" s="4" t="s">
        <v>65</v>
      </c>
      <c r="B8" s="4" t="s">
        <v>66</v>
      </c>
      <c r="C8" s="6">
        <v>46243</v>
      </c>
      <c r="D8" s="4" t="b">
        <v>0</v>
      </c>
      <c r="E8" s="4">
        <v>0</v>
      </c>
      <c r="F8" s="4" t="s">
        <v>46</v>
      </c>
      <c r="G8" s="4" t="s">
        <v>62</v>
      </c>
      <c r="H8" s="4" t="s">
        <v>48</v>
      </c>
      <c r="I8" s="4" t="b">
        <v>0</v>
      </c>
      <c r="J8" s="4" t="s">
        <v>67</v>
      </c>
    </row>
    <row r="9" spans="1:10" x14ac:dyDescent="0.45">
      <c r="A9" s="4" t="s">
        <v>68</v>
      </c>
      <c r="B9" s="4" t="s">
        <v>69</v>
      </c>
      <c r="C9" s="6">
        <v>46253</v>
      </c>
      <c r="D9" s="4" t="b">
        <v>0</v>
      </c>
      <c r="E9" s="4">
        <v>0</v>
      </c>
      <c r="F9" s="4" t="s">
        <v>46</v>
      </c>
      <c r="G9" s="4" t="s">
        <v>65</v>
      </c>
      <c r="H9" s="4" t="s">
        <v>48</v>
      </c>
      <c r="I9" s="4" t="b">
        <v>0</v>
      </c>
      <c r="J9" s="4" t="s">
        <v>70</v>
      </c>
    </row>
  </sheetData>
  <autoFilter ref="A1:J9" xr:uid="{00000000-0009-0000-0000-000002000000}"/>
  <conditionalFormatting sqref="D2:D9">
    <cfRule type="cellIs" dxfId="46" priority="1" operator="equal">
      <formula>TRUE</formula>
    </cfRule>
    <cfRule type="cellIs" dxfId="45" priority="2" operator="equal">
      <formula>FALSE</formula>
    </cfRule>
  </conditionalFormatting>
  <conditionalFormatting sqref="F2:F9">
    <cfRule type="expression" dxfId="44" priority="3">
      <formula>F2="Done"</formula>
    </cfRule>
    <cfRule type="expression" dxfId="43" priority="4">
      <formula>F2="In Progress"</formula>
    </cfRule>
    <cfRule type="expression" dxfId="42" priority="5">
      <formula>F2="Not Started"</formula>
    </cfRule>
    <cfRule type="expression" dxfId="41" priority="6">
      <formula>F2="Blocked"</formula>
    </cfRule>
    <cfRule type="expression" dxfId="40" priority="7">
      <formula>F2="Skipped"</formula>
    </cfRule>
  </conditionalFormatting>
  <conditionalFormatting sqref="I2:I9">
    <cfRule type="cellIs" dxfId="39" priority="8" operator="equal">
      <formula>TRUE</formula>
    </cfRule>
    <cfRule type="cellIs" dxfId="38" priority="9" operator="equal">
      <formula>FALSE</formula>
    </cfRule>
  </conditionalFormatting>
  <dataValidations count="2">
    <dataValidation type="list" allowBlank="1" sqref="D2:D9" xr:uid="{00000000-0002-0000-0200-000000000000}">
      <formula1>"TRUE,FALSE"</formula1>
    </dataValidation>
    <dataValidation type="list" allowBlank="1" sqref="F2:F9" xr:uid="{00000000-0002-0000-0200-000001000000}">
      <formula1>"Done,In Progress,Not Started,Blocked,Skipped"</formula1>
    </dataValidation>
  </dataValidations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35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6" customWidth="1"/>
    <col min="3" max="3" width="24" customWidth="1"/>
    <col min="4" max="4" width="15" customWidth="1"/>
    <col min="5" max="5" width="12" customWidth="1"/>
    <col min="6" max="6" width="15" customWidth="1"/>
    <col min="7" max="7" width="12" customWidth="1"/>
    <col min="8" max="8" width="28" customWidth="1"/>
    <col min="9" max="9" width="23" customWidth="1"/>
  </cols>
  <sheetData>
    <row r="1" spans="1:9" ht="25.05" customHeight="1" x14ac:dyDescent="0.45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29</v>
      </c>
      <c r="G1" s="1" t="s">
        <v>39</v>
      </c>
      <c r="H1" s="1" t="s">
        <v>76</v>
      </c>
      <c r="I1" s="1" t="s">
        <v>4</v>
      </c>
    </row>
    <row r="2" spans="1:9" ht="42.75" x14ac:dyDescent="0.45">
      <c r="A2" s="4" t="s">
        <v>77</v>
      </c>
      <c r="B2" s="4" t="s">
        <v>78</v>
      </c>
      <c r="C2" s="4" t="s">
        <v>79</v>
      </c>
      <c r="D2" s="4" t="s">
        <v>80</v>
      </c>
      <c r="E2" s="4" t="s">
        <v>81</v>
      </c>
      <c r="F2" s="4" t="s">
        <v>46</v>
      </c>
      <c r="G2" s="4" t="b">
        <v>0</v>
      </c>
      <c r="H2" s="4" t="s">
        <v>82</v>
      </c>
      <c r="I2" s="4"/>
    </row>
    <row r="3" spans="1:9" ht="28.5" x14ac:dyDescent="0.45">
      <c r="A3" s="4" t="s">
        <v>83</v>
      </c>
      <c r="B3" s="4" t="s">
        <v>78</v>
      </c>
      <c r="C3" s="4" t="s">
        <v>84</v>
      </c>
      <c r="D3" s="4" t="s">
        <v>80</v>
      </c>
      <c r="E3" s="4" t="s">
        <v>81</v>
      </c>
      <c r="F3" s="4" t="s">
        <v>46</v>
      </c>
      <c r="G3" s="4" t="b">
        <v>0</v>
      </c>
      <c r="H3" s="4" t="s">
        <v>85</v>
      </c>
      <c r="I3" s="4"/>
    </row>
    <row r="4" spans="1:9" ht="42.75" x14ac:dyDescent="0.45">
      <c r="A4" s="4" t="s">
        <v>86</v>
      </c>
      <c r="B4" s="4" t="s">
        <v>78</v>
      </c>
      <c r="C4" s="4" t="s">
        <v>87</v>
      </c>
      <c r="D4" s="4" t="s">
        <v>80</v>
      </c>
      <c r="E4" s="4" t="s">
        <v>81</v>
      </c>
      <c r="F4" s="4" t="s">
        <v>46</v>
      </c>
      <c r="G4" s="4" t="b">
        <v>0</v>
      </c>
      <c r="H4" s="4" t="s">
        <v>88</v>
      </c>
      <c r="I4" s="4"/>
    </row>
    <row r="5" spans="1:9" ht="28.5" x14ac:dyDescent="0.45">
      <c r="A5" s="4" t="s">
        <v>89</v>
      </c>
      <c r="B5" s="4" t="s">
        <v>78</v>
      </c>
      <c r="C5" s="4" t="s">
        <v>90</v>
      </c>
      <c r="D5" s="4" t="s">
        <v>80</v>
      </c>
      <c r="E5" s="4" t="s">
        <v>81</v>
      </c>
      <c r="F5" s="4" t="s">
        <v>46</v>
      </c>
      <c r="G5" s="4" t="b">
        <v>0</v>
      </c>
      <c r="H5" s="4" t="s">
        <v>88</v>
      </c>
      <c r="I5" s="4"/>
    </row>
    <row r="6" spans="1:9" ht="28.5" x14ac:dyDescent="0.45">
      <c r="A6" s="4" t="s">
        <v>91</v>
      </c>
      <c r="B6" s="4" t="s">
        <v>78</v>
      </c>
      <c r="C6" s="4" t="s">
        <v>92</v>
      </c>
      <c r="D6" s="4" t="s">
        <v>80</v>
      </c>
      <c r="E6" s="4" t="s">
        <v>81</v>
      </c>
      <c r="F6" s="4" t="s">
        <v>46</v>
      </c>
      <c r="G6" s="4" t="b">
        <v>0</v>
      </c>
      <c r="H6" s="4" t="s">
        <v>88</v>
      </c>
      <c r="I6" s="4"/>
    </row>
    <row r="7" spans="1:9" ht="42.75" x14ac:dyDescent="0.45">
      <c r="A7" s="4" t="s">
        <v>93</v>
      </c>
      <c r="B7" s="4" t="s">
        <v>78</v>
      </c>
      <c r="C7" s="4" t="s">
        <v>94</v>
      </c>
      <c r="D7" s="4" t="s">
        <v>80</v>
      </c>
      <c r="E7" s="4" t="s">
        <v>81</v>
      </c>
      <c r="F7" s="4" t="s">
        <v>46</v>
      </c>
      <c r="G7" s="4" t="b">
        <v>0</v>
      </c>
      <c r="H7" s="4" t="s">
        <v>95</v>
      </c>
      <c r="I7" s="4"/>
    </row>
    <row r="8" spans="1:9" ht="28.5" x14ac:dyDescent="0.45">
      <c r="A8" s="4" t="s">
        <v>96</v>
      </c>
      <c r="B8" s="4" t="s">
        <v>78</v>
      </c>
      <c r="C8" s="4" t="s">
        <v>97</v>
      </c>
      <c r="D8" s="4" t="s">
        <v>80</v>
      </c>
      <c r="E8" s="4" t="s">
        <v>81</v>
      </c>
      <c r="F8" s="4" t="s">
        <v>46</v>
      </c>
      <c r="G8" s="4" t="b">
        <v>0</v>
      </c>
      <c r="H8" s="4" t="s">
        <v>98</v>
      </c>
      <c r="I8" s="4"/>
    </row>
    <row r="9" spans="1:9" ht="28.5" x14ac:dyDescent="0.45">
      <c r="A9" s="4" t="s">
        <v>99</v>
      </c>
      <c r="B9" s="4" t="s">
        <v>100</v>
      </c>
      <c r="C9" s="4" t="s">
        <v>101</v>
      </c>
      <c r="D9" s="4" t="s">
        <v>80</v>
      </c>
      <c r="E9" s="4" t="s">
        <v>81</v>
      </c>
      <c r="F9" s="4" t="s">
        <v>46</v>
      </c>
      <c r="G9" s="4" t="b">
        <v>0</v>
      </c>
      <c r="H9" s="4" t="s">
        <v>102</v>
      </c>
      <c r="I9" s="4"/>
    </row>
    <row r="10" spans="1:9" ht="28.5" x14ac:dyDescent="0.45">
      <c r="A10" s="4" t="s">
        <v>103</v>
      </c>
      <c r="B10" s="4" t="s">
        <v>100</v>
      </c>
      <c r="C10" s="4" t="s">
        <v>104</v>
      </c>
      <c r="D10" s="4" t="s">
        <v>80</v>
      </c>
      <c r="E10" s="4" t="s">
        <v>81</v>
      </c>
      <c r="F10" s="4" t="s">
        <v>46</v>
      </c>
      <c r="G10" s="4" t="b">
        <v>0</v>
      </c>
      <c r="H10" s="4" t="s">
        <v>105</v>
      </c>
      <c r="I10" s="4"/>
    </row>
    <row r="11" spans="1:9" ht="28.5" x14ac:dyDescent="0.45">
      <c r="A11" s="4" t="s">
        <v>106</v>
      </c>
      <c r="B11" s="4" t="s">
        <v>100</v>
      </c>
      <c r="C11" s="4" t="s">
        <v>107</v>
      </c>
      <c r="D11" s="4" t="s">
        <v>80</v>
      </c>
      <c r="E11" s="4" t="s">
        <v>81</v>
      </c>
      <c r="F11" s="4" t="s">
        <v>46</v>
      </c>
      <c r="G11" s="4" t="b">
        <v>0</v>
      </c>
      <c r="H11" s="4" t="s">
        <v>108</v>
      </c>
      <c r="I11" s="4"/>
    </row>
    <row r="12" spans="1:9" x14ac:dyDescent="0.45">
      <c r="A12" s="4" t="s">
        <v>109</v>
      </c>
      <c r="B12" s="4" t="s">
        <v>110</v>
      </c>
      <c r="C12" s="4" t="s">
        <v>111</v>
      </c>
      <c r="D12" s="4" t="s">
        <v>80</v>
      </c>
      <c r="E12" s="4" t="s">
        <v>81</v>
      </c>
      <c r="F12" s="4" t="s">
        <v>46</v>
      </c>
      <c r="G12" s="4" t="b">
        <v>0</v>
      </c>
      <c r="H12" s="4" t="s">
        <v>112</v>
      </c>
      <c r="I12" s="4"/>
    </row>
    <row r="13" spans="1:9" x14ac:dyDescent="0.45">
      <c r="A13" s="4" t="s">
        <v>113</v>
      </c>
      <c r="B13" s="4" t="s">
        <v>110</v>
      </c>
      <c r="C13" s="4" t="s">
        <v>114</v>
      </c>
      <c r="D13" s="4" t="s">
        <v>80</v>
      </c>
      <c r="E13" s="4" t="s">
        <v>81</v>
      </c>
      <c r="F13" s="4" t="s">
        <v>46</v>
      </c>
      <c r="G13" s="4" t="b">
        <v>0</v>
      </c>
      <c r="H13" s="4" t="s">
        <v>115</v>
      </c>
      <c r="I13" s="4"/>
    </row>
    <row r="14" spans="1:9" ht="28.5" x14ac:dyDescent="0.45">
      <c r="A14" s="4" t="s">
        <v>116</v>
      </c>
      <c r="B14" s="4" t="s">
        <v>110</v>
      </c>
      <c r="C14" s="4" t="s">
        <v>117</v>
      </c>
      <c r="D14" s="4" t="s">
        <v>80</v>
      </c>
      <c r="E14" s="4" t="s">
        <v>81</v>
      </c>
      <c r="F14" s="4" t="s">
        <v>46</v>
      </c>
      <c r="G14" s="4" t="b">
        <v>0</v>
      </c>
      <c r="H14" s="4" t="s">
        <v>118</v>
      </c>
      <c r="I14" s="4" t="s">
        <v>119</v>
      </c>
    </row>
    <row r="15" spans="1:9" ht="42.75" x14ac:dyDescent="0.45">
      <c r="A15" s="4" t="s">
        <v>120</v>
      </c>
      <c r="B15" s="4" t="s">
        <v>110</v>
      </c>
      <c r="C15" s="4" t="s">
        <v>121</v>
      </c>
      <c r="D15" s="4" t="s">
        <v>80</v>
      </c>
      <c r="E15" s="4" t="s">
        <v>81</v>
      </c>
      <c r="F15" s="4" t="s">
        <v>46</v>
      </c>
      <c r="G15" s="4" t="b">
        <v>0</v>
      </c>
      <c r="H15" s="4" t="s">
        <v>122</v>
      </c>
      <c r="I15" s="4" t="s">
        <v>119</v>
      </c>
    </row>
    <row r="16" spans="1:9" ht="28.5" x14ac:dyDescent="0.45">
      <c r="A16" s="4" t="s">
        <v>123</v>
      </c>
      <c r="B16" s="4" t="s">
        <v>110</v>
      </c>
      <c r="C16" s="4" t="s">
        <v>124</v>
      </c>
      <c r="D16" s="4" t="s">
        <v>80</v>
      </c>
      <c r="E16" s="4" t="s">
        <v>81</v>
      </c>
      <c r="F16" s="4" t="s">
        <v>46</v>
      </c>
      <c r="G16" s="4" t="b">
        <v>0</v>
      </c>
      <c r="H16" s="4" t="s">
        <v>125</v>
      </c>
      <c r="I16" s="4" t="s">
        <v>119</v>
      </c>
    </row>
    <row r="17" spans="1:9" ht="28.5" x14ac:dyDescent="0.45">
      <c r="A17" s="4" t="s">
        <v>126</v>
      </c>
      <c r="B17" s="4" t="s">
        <v>110</v>
      </c>
      <c r="C17" s="4" t="s">
        <v>127</v>
      </c>
      <c r="D17" s="4" t="s">
        <v>80</v>
      </c>
      <c r="E17" s="4" t="s">
        <v>81</v>
      </c>
      <c r="F17" s="4" t="s">
        <v>46</v>
      </c>
      <c r="G17" s="4" t="b">
        <v>0</v>
      </c>
      <c r="H17" s="4" t="s">
        <v>128</v>
      </c>
      <c r="I17" s="4" t="s">
        <v>119</v>
      </c>
    </row>
    <row r="18" spans="1:9" ht="28.5" x14ac:dyDescent="0.45">
      <c r="A18" s="4" t="s">
        <v>129</v>
      </c>
      <c r="B18" s="4" t="s">
        <v>130</v>
      </c>
      <c r="C18" s="4" t="s">
        <v>131</v>
      </c>
      <c r="D18" s="4" t="s">
        <v>80</v>
      </c>
      <c r="E18" s="4" t="s">
        <v>81</v>
      </c>
      <c r="F18" s="4" t="s">
        <v>46</v>
      </c>
      <c r="G18" s="4" t="b">
        <v>0</v>
      </c>
      <c r="H18" s="4" t="s">
        <v>132</v>
      </c>
      <c r="I18" s="4"/>
    </row>
    <row r="19" spans="1:9" ht="28.5" x14ac:dyDescent="0.45">
      <c r="A19" s="4" t="s">
        <v>133</v>
      </c>
      <c r="B19" s="4" t="s">
        <v>130</v>
      </c>
      <c r="C19" s="4" t="s">
        <v>134</v>
      </c>
      <c r="D19" s="4" t="s">
        <v>80</v>
      </c>
      <c r="E19" s="4" t="s">
        <v>81</v>
      </c>
      <c r="F19" s="4" t="s">
        <v>46</v>
      </c>
      <c r="G19" s="4" t="b">
        <v>0</v>
      </c>
      <c r="H19" s="4" t="s">
        <v>135</v>
      </c>
      <c r="I19" s="4"/>
    </row>
    <row r="20" spans="1:9" ht="28.5" x14ac:dyDescent="0.45">
      <c r="A20" s="4" t="s">
        <v>136</v>
      </c>
      <c r="B20" s="4" t="s">
        <v>130</v>
      </c>
      <c r="C20" s="4" t="s">
        <v>137</v>
      </c>
      <c r="D20" s="4" t="s">
        <v>80</v>
      </c>
      <c r="E20" s="4" t="s">
        <v>81</v>
      </c>
      <c r="F20" s="4" t="s">
        <v>46</v>
      </c>
      <c r="G20" s="4" t="b">
        <v>0</v>
      </c>
      <c r="H20" s="4" t="s">
        <v>138</v>
      </c>
      <c r="I20" s="4"/>
    </row>
    <row r="21" spans="1:9" ht="28.5" x14ac:dyDescent="0.45">
      <c r="A21" s="4" t="s">
        <v>139</v>
      </c>
      <c r="B21" s="4" t="s">
        <v>78</v>
      </c>
      <c r="C21" s="4" t="s">
        <v>140</v>
      </c>
      <c r="D21" s="4" t="s">
        <v>141</v>
      </c>
      <c r="E21" s="4" t="s">
        <v>142</v>
      </c>
      <c r="F21" s="4" t="s">
        <v>46</v>
      </c>
      <c r="G21" s="4" t="b">
        <v>0</v>
      </c>
      <c r="H21" s="4" t="s">
        <v>143</v>
      </c>
      <c r="I21" s="4"/>
    </row>
    <row r="22" spans="1:9" ht="28.5" x14ac:dyDescent="0.45">
      <c r="A22" s="4" t="s">
        <v>144</v>
      </c>
      <c r="B22" s="4" t="s">
        <v>78</v>
      </c>
      <c r="C22" s="4" t="s">
        <v>145</v>
      </c>
      <c r="D22" s="4" t="s">
        <v>141</v>
      </c>
      <c r="E22" s="4" t="s">
        <v>142</v>
      </c>
      <c r="F22" s="4" t="s">
        <v>46</v>
      </c>
      <c r="G22" s="4" t="b">
        <v>0</v>
      </c>
      <c r="H22" s="4" t="s">
        <v>146</v>
      </c>
      <c r="I22" s="4"/>
    </row>
    <row r="23" spans="1:9" ht="28.5" x14ac:dyDescent="0.45">
      <c r="A23" s="4" t="s">
        <v>147</v>
      </c>
      <c r="B23" s="4" t="s">
        <v>100</v>
      </c>
      <c r="C23" s="4" t="s">
        <v>148</v>
      </c>
      <c r="D23" s="4" t="s">
        <v>141</v>
      </c>
      <c r="E23" s="4" t="s">
        <v>142</v>
      </c>
      <c r="F23" s="4" t="s">
        <v>46</v>
      </c>
      <c r="G23" s="4" t="b">
        <v>0</v>
      </c>
      <c r="H23" s="4" t="s">
        <v>149</v>
      </c>
      <c r="I23" s="4"/>
    </row>
    <row r="24" spans="1:9" x14ac:dyDescent="0.45">
      <c r="A24" s="4" t="s">
        <v>150</v>
      </c>
      <c r="B24" s="4" t="s">
        <v>110</v>
      </c>
      <c r="C24" s="4" t="s">
        <v>151</v>
      </c>
      <c r="D24" s="4" t="s">
        <v>141</v>
      </c>
      <c r="E24" s="4" t="s">
        <v>142</v>
      </c>
      <c r="F24" s="4" t="s">
        <v>46</v>
      </c>
      <c r="G24" s="4" t="b">
        <v>0</v>
      </c>
      <c r="H24" s="4" t="s">
        <v>152</v>
      </c>
      <c r="I24" s="4"/>
    </row>
    <row r="25" spans="1:9" ht="28.5" x14ac:dyDescent="0.45">
      <c r="A25" s="4" t="s">
        <v>153</v>
      </c>
      <c r="B25" s="4" t="s">
        <v>110</v>
      </c>
      <c r="C25" s="4" t="s">
        <v>154</v>
      </c>
      <c r="D25" s="4" t="s">
        <v>141</v>
      </c>
      <c r="E25" s="4" t="s">
        <v>142</v>
      </c>
      <c r="F25" s="4" t="s">
        <v>46</v>
      </c>
      <c r="G25" s="4" t="b">
        <v>0</v>
      </c>
      <c r="H25" s="4" t="s">
        <v>155</v>
      </c>
      <c r="I25" s="4"/>
    </row>
    <row r="26" spans="1:9" ht="28.5" x14ac:dyDescent="0.45">
      <c r="A26" s="4" t="s">
        <v>156</v>
      </c>
      <c r="B26" s="4" t="s">
        <v>157</v>
      </c>
      <c r="C26" s="4" t="s">
        <v>158</v>
      </c>
      <c r="D26" s="4" t="s">
        <v>141</v>
      </c>
      <c r="E26" s="4" t="s">
        <v>142</v>
      </c>
      <c r="F26" s="4" t="s">
        <v>46</v>
      </c>
      <c r="G26" s="4" t="b">
        <v>0</v>
      </c>
      <c r="H26" s="4" t="s">
        <v>159</v>
      </c>
      <c r="I26" s="4"/>
    </row>
    <row r="27" spans="1:9" ht="28.5" x14ac:dyDescent="0.45">
      <c r="A27" s="4" t="s">
        <v>160</v>
      </c>
      <c r="B27" s="4" t="s">
        <v>157</v>
      </c>
      <c r="C27" s="4" t="s">
        <v>161</v>
      </c>
      <c r="D27" s="4" t="s">
        <v>141</v>
      </c>
      <c r="E27" s="4" t="s">
        <v>142</v>
      </c>
      <c r="F27" s="4" t="s">
        <v>46</v>
      </c>
      <c r="G27" s="4" t="b">
        <v>0</v>
      </c>
      <c r="H27" s="4" t="s">
        <v>162</v>
      </c>
      <c r="I27" s="4"/>
    </row>
    <row r="28" spans="1:9" ht="28.5" x14ac:dyDescent="0.45">
      <c r="A28" s="4" t="s">
        <v>163</v>
      </c>
      <c r="B28" s="4" t="s">
        <v>130</v>
      </c>
      <c r="C28" s="4" t="s">
        <v>164</v>
      </c>
      <c r="D28" s="4" t="s">
        <v>141</v>
      </c>
      <c r="E28" s="4" t="s">
        <v>142</v>
      </c>
      <c r="F28" s="4" t="s">
        <v>46</v>
      </c>
      <c r="G28" s="4" t="b">
        <v>0</v>
      </c>
      <c r="H28" s="4" t="s">
        <v>165</v>
      </c>
      <c r="I28" s="4"/>
    </row>
    <row r="29" spans="1:9" ht="28.5" x14ac:dyDescent="0.45">
      <c r="A29" s="4" t="s">
        <v>166</v>
      </c>
      <c r="B29" s="4" t="s">
        <v>130</v>
      </c>
      <c r="C29" s="4" t="s">
        <v>167</v>
      </c>
      <c r="D29" s="4" t="s">
        <v>141</v>
      </c>
      <c r="E29" s="4" t="s">
        <v>142</v>
      </c>
      <c r="F29" s="4" t="s">
        <v>46</v>
      </c>
      <c r="G29" s="4" t="b">
        <v>0</v>
      </c>
      <c r="H29" s="4" t="s">
        <v>168</v>
      </c>
      <c r="I29" s="4"/>
    </row>
    <row r="30" spans="1:9" ht="28.5" x14ac:dyDescent="0.45">
      <c r="A30" s="4" t="s">
        <v>169</v>
      </c>
      <c r="B30" s="4" t="s">
        <v>78</v>
      </c>
      <c r="C30" s="4" t="s">
        <v>170</v>
      </c>
      <c r="D30" s="4" t="s">
        <v>171</v>
      </c>
      <c r="E30" s="4" t="s">
        <v>142</v>
      </c>
      <c r="F30" s="4" t="s">
        <v>46</v>
      </c>
      <c r="G30" s="4" t="b">
        <v>0</v>
      </c>
      <c r="H30" s="4" t="s">
        <v>172</v>
      </c>
      <c r="I30" s="4"/>
    </row>
    <row r="31" spans="1:9" ht="28.5" x14ac:dyDescent="0.45">
      <c r="A31" s="4" t="s">
        <v>173</v>
      </c>
      <c r="B31" s="4" t="s">
        <v>100</v>
      </c>
      <c r="C31" s="4" t="s">
        <v>174</v>
      </c>
      <c r="D31" s="4" t="s">
        <v>171</v>
      </c>
      <c r="E31" s="4" t="s">
        <v>142</v>
      </c>
      <c r="F31" s="4" t="s">
        <v>46</v>
      </c>
      <c r="G31" s="4" t="b">
        <v>0</v>
      </c>
      <c r="H31" s="4" t="s">
        <v>175</v>
      </c>
      <c r="I31" s="4"/>
    </row>
    <row r="32" spans="1:9" ht="28.5" x14ac:dyDescent="0.45">
      <c r="A32" s="4" t="s">
        <v>176</v>
      </c>
      <c r="B32" s="4" t="s">
        <v>157</v>
      </c>
      <c r="C32" s="4" t="s">
        <v>177</v>
      </c>
      <c r="D32" s="4" t="s">
        <v>171</v>
      </c>
      <c r="E32" s="4" t="s">
        <v>142</v>
      </c>
      <c r="F32" s="4" t="s">
        <v>46</v>
      </c>
      <c r="G32" s="4" t="b">
        <v>0</v>
      </c>
      <c r="H32" s="4" t="s">
        <v>159</v>
      </c>
      <c r="I32" s="4"/>
    </row>
    <row r="33" spans="1:9" ht="28.5" x14ac:dyDescent="0.45">
      <c r="A33" s="4" t="s">
        <v>178</v>
      </c>
      <c r="B33" s="4" t="s">
        <v>157</v>
      </c>
      <c r="C33" s="4" t="s">
        <v>179</v>
      </c>
      <c r="D33" s="4" t="s">
        <v>171</v>
      </c>
      <c r="E33" s="4" t="s">
        <v>142</v>
      </c>
      <c r="F33" s="4" t="s">
        <v>46</v>
      </c>
      <c r="G33" s="4" t="b">
        <v>0</v>
      </c>
      <c r="H33" s="4" t="s">
        <v>159</v>
      </c>
      <c r="I33" s="4"/>
    </row>
    <row r="34" spans="1:9" ht="28.5" x14ac:dyDescent="0.45">
      <c r="A34" s="4" t="s">
        <v>180</v>
      </c>
      <c r="B34" s="4" t="s">
        <v>130</v>
      </c>
      <c r="C34" s="4" t="s">
        <v>181</v>
      </c>
      <c r="D34" s="4" t="s">
        <v>171</v>
      </c>
      <c r="E34" s="4" t="s">
        <v>142</v>
      </c>
      <c r="F34" s="4" t="s">
        <v>46</v>
      </c>
      <c r="G34" s="4" t="b">
        <v>0</v>
      </c>
      <c r="H34" s="4" t="s">
        <v>182</v>
      </c>
      <c r="I34" s="4"/>
    </row>
    <row r="35" spans="1:9" ht="28.5" x14ac:dyDescent="0.45">
      <c r="A35" s="4" t="s">
        <v>183</v>
      </c>
      <c r="B35" s="4" t="s">
        <v>157</v>
      </c>
      <c r="C35" s="4" t="s">
        <v>184</v>
      </c>
      <c r="D35" s="4" t="s">
        <v>185</v>
      </c>
      <c r="E35" s="4" t="s">
        <v>186</v>
      </c>
      <c r="F35" s="4" t="s">
        <v>46</v>
      </c>
      <c r="G35" s="4" t="b">
        <v>0</v>
      </c>
      <c r="H35" s="4" t="s">
        <v>159</v>
      </c>
      <c r="I35" s="4"/>
    </row>
  </sheetData>
  <autoFilter ref="A1:I35" xr:uid="{00000000-0009-0000-0000-000003000000}"/>
  <conditionalFormatting sqref="D2:D35">
    <cfRule type="expression" dxfId="37" priority="1">
      <formula>D2="Critical"</formula>
    </cfRule>
    <cfRule type="expression" dxfId="36" priority="2">
      <formula>D2="High"</formula>
    </cfRule>
    <cfRule type="expression" dxfId="35" priority="3">
      <formula>D2="Medium"</formula>
    </cfRule>
    <cfRule type="expression" dxfId="34" priority="4">
      <formula>D2="Low"</formula>
    </cfRule>
  </conditionalFormatting>
  <conditionalFormatting sqref="F2:F35">
    <cfRule type="expression" dxfId="33" priority="5">
      <formula>F2="Done"</formula>
    </cfRule>
    <cfRule type="expression" dxfId="32" priority="6">
      <formula>F2="In Progress"</formula>
    </cfRule>
    <cfRule type="expression" dxfId="31" priority="7">
      <formula>F2="Not Started"</formula>
    </cfRule>
    <cfRule type="expression" dxfId="30" priority="8">
      <formula>F2="Blocked"</formula>
    </cfRule>
    <cfRule type="expression" dxfId="29" priority="9">
      <formula>F2="Skipped"</formula>
    </cfRule>
  </conditionalFormatting>
  <conditionalFormatting sqref="G2:G35">
    <cfRule type="cellIs" dxfId="28" priority="10" operator="equal">
      <formula>TRUE</formula>
    </cfRule>
    <cfRule type="cellIs" dxfId="27" priority="11" operator="equal">
      <formula>FALSE</formula>
    </cfRule>
  </conditionalFormatting>
  <dataValidations count="3">
    <dataValidation type="list" allowBlank="1" sqref="G2:G35" xr:uid="{00000000-0002-0000-0300-000000000000}">
      <formula1>"TRUE,FALSE"</formula1>
    </dataValidation>
    <dataValidation type="list" allowBlank="1" sqref="F2:F35" xr:uid="{00000000-0002-0000-0300-000001000000}">
      <formula1>"Done,In Progress,Not Started,Blocked,Skipped"</formula1>
    </dataValidation>
    <dataValidation type="list" allowBlank="1" sqref="D2:D35" xr:uid="{00000000-0002-0000-0300-000002000000}">
      <formula1>"Critical,High,Medium,Low"</formula1>
    </dataValidation>
  </dataValidation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4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3" width="24" customWidth="1"/>
    <col min="4" max="4" width="15" customWidth="1"/>
    <col min="5" max="7" width="14" customWidth="1"/>
    <col min="8" max="8" width="28" customWidth="1"/>
    <col min="9" max="9" width="12" customWidth="1"/>
    <col min="10" max="10" width="15" customWidth="1"/>
    <col min="11" max="11" width="30" customWidth="1"/>
    <col min="12" max="12" width="12" customWidth="1"/>
    <col min="13" max="13" width="16" customWidth="1"/>
  </cols>
  <sheetData>
    <row r="1" spans="1:13" ht="25.05" customHeight="1" x14ac:dyDescent="0.45">
      <c r="A1" s="1" t="s">
        <v>187</v>
      </c>
      <c r="B1" s="1" t="s">
        <v>188</v>
      </c>
      <c r="C1" s="1" t="s">
        <v>189</v>
      </c>
      <c r="D1" s="1" t="s">
        <v>74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39</v>
      </c>
      <c r="J1" s="1" t="s">
        <v>29</v>
      </c>
      <c r="K1" s="1" t="s">
        <v>194</v>
      </c>
      <c r="L1" s="1" t="s">
        <v>195</v>
      </c>
      <c r="M1" s="1" t="s">
        <v>4</v>
      </c>
    </row>
    <row r="2" spans="1:13" ht="28.5" x14ac:dyDescent="0.45">
      <c r="A2" s="4" t="s">
        <v>196</v>
      </c>
      <c r="B2" s="4" t="s">
        <v>197</v>
      </c>
      <c r="C2" s="4" t="s">
        <v>198</v>
      </c>
      <c r="D2" s="4" t="s">
        <v>80</v>
      </c>
      <c r="E2" s="4">
        <v>0.5</v>
      </c>
      <c r="F2" s="6">
        <v>46228</v>
      </c>
      <c r="G2" s="6">
        <v>46228</v>
      </c>
      <c r="H2" s="4"/>
      <c r="I2" s="4" t="b">
        <v>0</v>
      </c>
      <c r="J2" s="4" t="s">
        <v>46</v>
      </c>
      <c r="K2" s="4"/>
      <c r="L2" s="4" t="s">
        <v>44</v>
      </c>
      <c r="M2" s="4"/>
    </row>
    <row r="3" spans="1:13" x14ac:dyDescent="0.45">
      <c r="A3" s="4" t="s">
        <v>199</v>
      </c>
      <c r="B3" s="4" t="s">
        <v>200</v>
      </c>
      <c r="C3" s="4" t="s">
        <v>201</v>
      </c>
      <c r="D3" s="4" t="s">
        <v>80</v>
      </c>
      <c r="E3" s="4">
        <v>1</v>
      </c>
      <c r="F3" s="6">
        <v>46228</v>
      </c>
      <c r="G3" s="6">
        <v>46228</v>
      </c>
      <c r="H3" s="4"/>
      <c r="I3" s="4" t="b">
        <v>0</v>
      </c>
      <c r="J3" s="4" t="s">
        <v>46</v>
      </c>
      <c r="K3" s="4"/>
      <c r="L3" s="4" t="s">
        <v>44</v>
      </c>
      <c r="M3" s="4"/>
    </row>
    <row r="4" spans="1:13" ht="28.5" x14ac:dyDescent="0.45">
      <c r="A4" s="4" t="s">
        <v>202</v>
      </c>
      <c r="B4" s="4" t="s">
        <v>203</v>
      </c>
      <c r="C4" s="4" t="s">
        <v>204</v>
      </c>
      <c r="D4" s="4" t="s">
        <v>80</v>
      </c>
      <c r="E4" s="4">
        <v>1</v>
      </c>
      <c r="F4" s="6">
        <v>46228</v>
      </c>
      <c r="G4" s="6">
        <v>46228</v>
      </c>
      <c r="H4" s="4"/>
      <c r="I4" s="4" t="b">
        <v>0</v>
      </c>
      <c r="J4" s="4" t="s">
        <v>46</v>
      </c>
      <c r="K4" s="4"/>
      <c r="L4" s="4" t="s">
        <v>44</v>
      </c>
      <c r="M4" s="4"/>
    </row>
    <row r="5" spans="1:13" x14ac:dyDescent="0.45">
      <c r="A5" s="4" t="s">
        <v>205</v>
      </c>
      <c r="B5" s="4" t="s">
        <v>206</v>
      </c>
      <c r="C5" s="4" t="s">
        <v>115</v>
      </c>
      <c r="D5" s="4" t="s">
        <v>80</v>
      </c>
      <c r="E5" s="4">
        <v>0.25</v>
      </c>
      <c r="F5" s="6">
        <v>46230</v>
      </c>
      <c r="G5" s="6">
        <v>46230</v>
      </c>
      <c r="H5" s="4" t="s">
        <v>207</v>
      </c>
      <c r="I5" s="4" t="b">
        <v>0</v>
      </c>
      <c r="J5" s="4" t="s">
        <v>46</v>
      </c>
      <c r="K5" s="4"/>
      <c r="L5" s="4" t="s">
        <v>50</v>
      </c>
      <c r="M5" s="4"/>
    </row>
    <row r="6" spans="1:13" ht="42.75" x14ac:dyDescent="0.45">
      <c r="A6" s="4" t="s">
        <v>208</v>
      </c>
      <c r="B6" s="4" t="s">
        <v>209</v>
      </c>
      <c r="C6" s="4" t="s">
        <v>210</v>
      </c>
      <c r="D6" s="4" t="s">
        <v>80</v>
      </c>
      <c r="E6" s="4">
        <v>0.5</v>
      </c>
      <c r="F6" s="6">
        <v>46230</v>
      </c>
      <c r="G6" s="6">
        <v>46230</v>
      </c>
      <c r="H6" s="4" t="s">
        <v>205</v>
      </c>
      <c r="I6" s="4" t="b">
        <v>0</v>
      </c>
      <c r="J6" s="4" t="s">
        <v>46</v>
      </c>
      <c r="K6" s="4"/>
      <c r="L6" s="4" t="s">
        <v>50</v>
      </c>
      <c r="M6" s="4"/>
    </row>
    <row r="7" spans="1:13" x14ac:dyDescent="0.45">
      <c r="A7" s="4" t="s">
        <v>211</v>
      </c>
      <c r="B7" s="4" t="s">
        <v>212</v>
      </c>
      <c r="C7" s="4" t="s">
        <v>210</v>
      </c>
      <c r="D7" s="4" t="s">
        <v>80</v>
      </c>
      <c r="E7" s="4">
        <v>0.5</v>
      </c>
      <c r="F7" s="6">
        <v>46230</v>
      </c>
      <c r="G7" s="6">
        <v>46230</v>
      </c>
      <c r="H7" s="4" t="s">
        <v>205</v>
      </c>
      <c r="I7" s="4" t="b">
        <v>0</v>
      </c>
      <c r="J7" s="4" t="s">
        <v>46</v>
      </c>
      <c r="K7" s="4"/>
      <c r="L7" s="4" t="s">
        <v>50</v>
      </c>
      <c r="M7" s="4"/>
    </row>
    <row r="8" spans="1:13" x14ac:dyDescent="0.45">
      <c r="A8" s="4" t="s">
        <v>213</v>
      </c>
      <c r="B8" s="4" t="s">
        <v>214</v>
      </c>
      <c r="C8" s="4" t="s">
        <v>210</v>
      </c>
      <c r="D8" s="4" t="s">
        <v>80</v>
      </c>
      <c r="E8" s="4">
        <v>0.5</v>
      </c>
      <c r="F8" s="6">
        <v>46230</v>
      </c>
      <c r="G8" s="6">
        <v>46230</v>
      </c>
      <c r="H8" s="4" t="s">
        <v>205</v>
      </c>
      <c r="I8" s="4" t="b">
        <v>0</v>
      </c>
      <c r="J8" s="4" t="s">
        <v>46</v>
      </c>
      <c r="K8" s="4"/>
      <c r="L8" s="4" t="s">
        <v>50</v>
      </c>
      <c r="M8" s="4"/>
    </row>
    <row r="9" spans="1:13" x14ac:dyDescent="0.45">
      <c r="A9" s="4" t="s">
        <v>215</v>
      </c>
      <c r="B9" s="4" t="s">
        <v>216</v>
      </c>
      <c r="C9" s="4" t="s">
        <v>210</v>
      </c>
      <c r="D9" s="4" t="s">
        <v>80</v>
      </c>
      <c r="E9" s="4">
        <v>0.5</v>
      </c>
      <c r="F9" s="6">
        <v>46230</v>
      </c>
      <c r="G9" s="6">
        <v>46230</v>
      </c>
      <c r="H9" s="4" t="s">
        <v>205</v>
      </c>
      <c r="I9" s="4" t="b">
        <v>0</v>
      </c>
      <c r="J9" s="4" t="s">
        <v>46</v>
      </c>
      <c r="K9" s="4"/>
      <c r="L9" s="4" t="s">
        <v>50</v>
      </c>
      <c r="M9" s="4"/>
    </row>
    <row r="10" spans="1:13" x14ac:dyDescent="0.45">
      <c r="A10" s="4" t="s">
        <v>217</v>
      </c>
      <c r="B10" s="4" t="s">
        <v>218</v>
      </c>
      <c r="C10" s="4" t="s">
        <v>219</v>
      </c>
      <c r="D10" s="4" t="s">
        <v>80</v>
      </c>
      <c r="E10" s="4">
        <v>3</v>
      </c>
      <c r="F10" s="6">
        <v>46231</v>
      </c>
      <c r="G10" s="6">
        <v>46231</v>
      </c>
      <c r="H10" s="4" t="s">
        <v>205</v>
      </c>
      <c r="I10" s="4" t="b">
        <v>0</v>
      </c>
      <c r="J10" s="4" t="s">
        <v>46</v>
      </c>
      <c r="K10" s="4"/>
      <c r="L10" s="4" t="s">
        <v>50</v>
      </c>
      <c r="M10" s="4" t="s">
        <v>220</v>
      </c>
    </row>
    <row r="11" spans="1:13" x14ac:dyDescent="0.45">
      <c r="A11" s="4" t="s">
        <v>221</v>
      </c>
      <c r="B11" s="4" t="s">
        <v>222</v>
      </c>
      <c r="C11" s="4" t="s">
        <v>223</v>
      </c>
      <c r="D11" s="4" t="s">
        <v>80</v>
      </c>
      <c r="E11" s="4">
        <v>2</v>
      </c>
      <c r="F11" s="6">
        <v>46231</v>
      </c>
      <c r="G11" s="6">
        <v>46231</v>
      </c>
      <c r="H11" s="4" t="s">
        <v>217</v>
      </c>
      <c r="I11" s="4" t="b">
        <v>0</v>
      </c>
      <c r="J11" s="4" t="s">
        <v>46</v>
      </c>
      <c r="K11" s="4"/>
      <c r="L11" s="4" t="s">
        <v>50</v>
      </c>
      <c r="M11" s="4" t="s">
        <v>220</v>
      </c>
    </row>
    <row r="12" spans="1:13" ht="28.5" x14ac:dyDescent="0.45">
      <c r="A12" s="4" t="s">
        <v>224</v>
      </c>
      <c r="B12" s="4" t="s">
        <v>225</v>
      </c>
      <c r="C12" s="4" t="s">
        <v>226</v>
      </c>
      <c r="D12" s="4" t="s">
        <v>80</v>
      </c>
      <c r="E12" s="4">
        <v>2</v>
      </c>
      <c r="F12" s="6">
        <v>46231</v>
      </c>
      <c r="G12" s="6">
        <v>46231</v>
      </c>
      <c r="H12" s="4" t="s">
        <v>221</v>
      </c>
      <c r="I12" s="4" t="b">
        <v>0</v>
      </c>
      <c r="J12" s="4" t="s">
        <v>46</v>
      </c>
      <c r="K12" s="4"/>
      <c r="L12" s="4" t="s">
        <v>50</v>
      </c>
      <c r="M12" s="4" t="s">
        <v>220</v>
      </c>
    </row>
    <row r="13" spans="1:13" x14ac:dyDescent="0.45">
      <c r="A13" s="4" t="s">
        <v>227</v>
      </c>
      <c r="B13" s="4" t="s">
        <v>228</v>
      </c>
      <c r="C13" s="4" t="s">
        <v>229</v>
      </c>
      <c r="D13" s="4" t="s">
        <v>80</v>
      </c>
      <c r="E13" s="4">
        <v>3</v>
      </c>
      <c r="F13" s="6">
        <v>46232</v>
      </c>
      <c r="G13" s="6">
        <v>46232</v>
      </c>
      <c r="H13" s="4" t="s">
        <v>224</v>
      </c>
      <c r="I13" s="4" t="b">
        <v>0</v>
      </c>
      <c r="J13" s="4" t="s">
        <v>46</v>
      </c>
      <c r="K13" s="4"/>
      <c r="L13" s="4" t="s">
        <v>53</v>
      </c>
      <c r="M13" s="4"/>
    </row>
    <row r="14" spans="1:13" ht="28.5" x14ac:dyDescent="0.45">
      <c r="A14" s="4" t="s">
        <v>230</v>
      </c>
      <c r="B14" s="4" t="s">
        <v>231</v>
      </c>
      <c r="C14" s="4" t="s">
        <v>232</v>
      </c>
      <c r="D14" s="4" t="s">
        <v>80</v>
      </c>
      <c r="E14" s="4">
        <v>1</v>
      </c>
      <c r="F14" s="6">
        <v>46233</v>
      </c>
      <c r="G14" s="6">
        <v>46233</v>
      </c>
      <c r="H14" s="4" t="s">
        <v>233</v>
      </c>
      <c r="I14" s="4" t="b">
        <v>0</v>
      </c>
      <c r="J14" s="4" t="s">
        <v>46</v>
      </c>
      <c r="K14" s="4"/>
      <c r="L14" s="4" t="s">
        <v>56</v>
      </c>
      <c r="M14" s="4"/>
    </row>
    <row r="15" spans="1:13" x14ac:dyDescent="0.45">
      <c r="A15" s="4" t="s">
        <v>234</v>
      </c>
      <c r="B15" s="4" t="s">
        <v>235</v>
      </c>
      <c r="C15" s="4" t="s">
        <v>232</v>
      </c>
      <c r="D15" s="4" t="s">
        <v>80</v>
      </c>
      <c r="E15" s="4">
        <v>1</v>
      </c>
      <c r="F15" s="6">
        <v>46233</v>
      </c>
      <c r="G15" s="6">
        <v>46233</v>
      </c>
      <c r="H15" s="4" t="s">
        <v>233</v>
      </c>
      <c r="I15" s="4" t="b">
        <v>0</v>
      </c>
      <c r="J15" s="4" t="s">
        <v>46</v>
      </c>
      <c r="K15" s="4"/>
      <c r="L15" s="4" t="s">
        <v>56</v>
      </c>
      <c r="M15" s="4"/>
    </row>
    <row r="16" spans="1:13" ht="28.5" x14ac:dyDescent="0.45">
      <c r="A16" s="4" t="s">
        <v>236</v>
      </c>
      <c r="B16" s="4" t="s">
        <v>237</v>
      </c>
      <c r="C16" s="4" t="s">
        <v>238</v>
      </c>
      <c r="D16" s="4" t="s">
        <v>80</v>
      </c>
      <c r="E16" s="4">
        <v>3</v>
      </c>
      <c r="F16" s="6">
        <v>46233</v>
      </c>
      <c r="G16" s="6">
        <v>46233</v>
      </c>
      <c r="H16" s="4" t="s">
        <v>230</v>
      </c>
      <c r="I16" s="4" t="b">
        <v>0</v>
      </c>
      <c r="J16" s="4" t="s">
        <v>46</v>
      </c>
      <c r="K16" s="4"/>
      <c r="L16" s="4" t="s">
        <v>56</v>
      </c>
      <c r="M16" s="4" t="s">
        <v>220</v>
      </c>
    </row>
    <row r="17" spans="1:13" ht="28.5" x14ac:dyDescent="0.45">
      <c r="A17" s="4" t="s">
        <v>239</v>
      </c>
      <c r="B17" s="4" t="s">
        <v>240</v>
      </c>
      <c r="C17" s="4" t="s">
        <v>241</v>
      </c>
      <c r="D17" s="4" t="s">
        <v>80</v>
      </c>
      <c r="E17" s="4">
        <v>2</v>
      </c>
      <c r="F17" s="6">
        <v>46234</v>
      </c>
      <c r="G17" s="6">
        <v>46234</v>
      </c>
      <c r="H17" s="4" t="s">
        <v>236</v>
      </c>
      <c r="I17" s="4" t="b">
        <v>0</v>
      </c>
      <c r="J17" s="4" t="s">
        <v>46</v>
      </c>
      <c r="K17" s="4"/>
      <c r="L17" s="4" t="s">
        <v>56</v>
      </c>
      <c r="M17" s="4"/>
    </row>
    <row r="18" spans="1:13" ht="28.5" x14ac:dyDescent="0.45">
      <c r="A18" s="4" t="s">
        <v>242</v>
      </c>
      <c r="B18" s="4" t="s">
        <v>243</v>
      </c>
      <c r="C18" s="4" t="s">
        <v>244</v>
      </c>
      <c r="D18" s="4" t="s">
        <v>80</v>
      </c>
      <c r="E18" s="4">
        <v>2</v>
      </c>
      <c r="F18" s="6">
        <v>46234</v>
      </c>
      <c r="G18" s="6">
        <v>46234</v>
      </c>
      <c r="H18" s="4" t="s">
        <v>239</v>
      </c>
      <c r="I18" s="4" t="b">
        <v>0</v>
      </c>
      <c r="J18" s="4" t="s">
        <v>46</v>
      </c>
      <c r="K18" s="4"/>
      <c r="L18" s="4" t="s">
        <v>56</v>
      </c>
      <c r="M18" s="4"/>
    </row>
    <row r="19" spans="1:13" x14ac:dyDescent="0.45">
      <c r="A19" s="4" t="s">
        <v>245</v>
      </c>
      <c r="B19" s="4" t="s">
        <v>246</v>
      </c>
      <c r="C19" s="4" t="s">
        <v>247</v>
      </c>
      <c r="D19" s="4" t="s">
        <v>80</v>
      </c>
      <c r="E19" s="4">
        <v>0.5</v>
      </c>
      <c r="F19" s="6">
        <v>46235</v>
      </c>
      <c r="G19" s="6">
        <v>46235</v>
      </c>
      <c r="H19" s="4"/>
      <c r="I19" s="4" t="b">
        <v>0</v>
      </c>
      <c r="J19" s="4" t="s">
        <v>46</v>
      </c>
      <c r="K19" s="4"/>
      <c r="L19" s="4" t="s">
        <v>59</v>
      </c>
      <c r="M19" s="4" t="s">
        <v>248</v>
      </c>
    </row>
    <row r="20" spans="1:13" x14ac:dyDescent="0.45">
      <c r="A20" s="4" t="s">
        <v>249</v>
      </c>
      <c r="B20" s="4" t="s">
        <v>250</v>
      </c>
      <c r="C20" s="4" t="s">
        <v>251</v>
      </c>
      <c r="D20" s="4" t="s">
        <v>80</v>
      </c>
      <c r="E20" s="4">
        <v>0.5</v>
      </c>
      <c r="F20" s="6">
        <v>46235</v>
      </c>
      <c r="G20" s="6">
        <v>46235</v>
      </c>
      <c r="H20" s="4" t="s">
        <v>245</v>
      </c>
      <c r="I20" s="4" t="b">
        <v>0</v>
      </c>
      <c r="J20" s="4" t="s">
        <v>46</v>
      </c>
      <c r="K20" s="4"/>
      <c r="L20" s="4" t="s">
        <v>59</v>
      </c>
      <c r="M20" s="4"/>
    </row>
    <row r="21" spans="1:13" x14ac:dyDescent="0.45">
      <c r="A21" s="4" t="s">
        <v>252</v>
      </c>
      <c r="B21" s="4" t="s">
        <v>253</v>
      </c>
      <c r="C21" s="4" t="s">
        <v>254</v>
      </c>
      <c r="D21" s="4" t="s">
        <v>80</v>
      </c>
      <c r="E21" s="4">
        <v>2</v>
      </c>
      <c r="F21" s="6">
        <v>46235</v>
      </c>
      <c r="G21" s="6">
        <v>46235</v>
      </c>
      <c r="H21" s="4" t="s">
        <v>245</v>
      </c>
      <c r="I21" s="4" t="b">
        <v>0</v>
      </c>
      <c r="J21" s="4" t="s">
        <v>46</v>
      </c>
      <c r="K21" s="4"/>
      <c r="L21" s="4" t="s">
        <v>59</v>
      </c>
      <c r="M21" s="4"/>
    </row>
    <row r="22" spans="1:13" x14ac:dyDescent="0.45">
      <c r="A22" s="4" t="s">
        <v>255</v>
      </c>
      <c r="B22" s="4" t="s">
        <v>256</v>
      </c>
      <c r="C22" s="4" t="s">
        <v>257</v>
      </c>
      <c r="D22" s="4" t="s">
        <v>80</v>
      </c>
      <c r="E22" s="4">
        <v>3</v>
      </c>
      <c r="F22" s="6">
        <v>46236</v>
      </c>
      <c r="G22" s="6">
        <v>46236</v>
      </c>
      <c r="H22" s="4" t="s">
        <v>252</v>
      </c>
      <c r="I22" s="4" t="b">
        <v>0</v>
      </c>
      <c r="J22" s="4" t="s">
        <v>46</v>
      </c>
      <c r="K22" s="4"/>
      <c r="L22" s="4" t="s">
        <v>59</v>
      </c>
      <c r="M22" s="4"/>
    </row>
    <row r="23" spans="1:13" x14ac:dyDescent="0.45">
      <c r="A23" s="4" t="s">
        <v>258</v>
      </c>
      <c r="B23" s="4" t="s">
        <v>259</v>
      </c>
      <c r="C23" s="4" t="s">
        <v>260</v>
      </c>
      <c r="D23" s="4" t="s">
        <v>80</v>
      </c>
      <c r="E23" s="4">
        <v>3</v>
      </c>
      <c r="F23" s="6">
        <v>46241</v>
      </c>
      <c r="G23" s="6">
        <v>46241</v>
      </c>
      <c r="H23" s="4" t="s">
        <v>261</v>
      </c>
      <c r="I23" s="4" t="b">
        <v>0</v>
      </c>
      <c r="J23" s="4" t="s">
        <v>46</v>
      </c>
      <c r="K23" s="4" t="s">
        <v>262</v>
      </c>
      <c r="L23" s="4" t="s">
        <v>65</v>
      </c>
      <c r="M23" s="4"/>
    </row>
    <row r="24" spans="1:13" x14ac:dyDescent="0.45">
      <c r="A24" s="4" t="s">
        <v>263</v>
      </c>
      <c r="B24" s="4" t="s">
        <v>264</v>
      </c>
      <c r="C24" s="4" t="s">
        <v>265</v>
      </c>
      <c r="D24" s="4" t="s">
        <v>80</v>
      </c>
      <c r="E24" s="4">
        <v>2</v>
      </c>
      <c r="F24" s="6">
        <v>46241</v>
      </c>
      <c r="G24" s="6">
        <v>46241</v>
      </c>
      <c r="H24" s="4" t="s">
        <v>258</v>
      </c>
      <c r="I24" s="4" t="b">
        <v>0</v>
      </c>
      <c r="J24" s="4" t="s">
        <v>46</v>
      </c>
      <c r="K24" s="4" t="s">
        <v>262</v>
      </c>
      <c r="L24" s="4" t="s">
        <v>65</v>
      </c>
      <c r="M24" s="4"/>
    </row>
    <row r="25" spans="1:13" x14ac:dyDescent="0.45">
      <c r="A25" s="4" t="s">
        <v>266</v>
      </c>
      <c r="B25" s="4" t="s">
        <v>267</v>
      </c>
      <c r="C25" s="4" t="s">
        <v>268</v>
      </c>
      <c r="D25" s="4" t="s">
        <v>80</v>
      </c>
      <c r="E25" s="4">
        <v>1</v>
      </c>
      <c r="F25" s="6">
        <v>46241</v>
      </c>
      <c r="G25" s="6">
        <v>46241</v>
      </c>
      <c r="H25" s="4" t="s">
        <v>263</v>
      </c>
      <c r="I25" s="4" t="b">
        <v>0</v>
      </c>
      <c r="J25" s="4" t="s">
        <v>46</v>
      </c>
      <c r="K25" s="4"/>
      <c r="L25" s="4" t="s">
        <v>65</v>
      </c>
      <c r="M25" s="4"/>
    </row>
    <row r="26" spans="1:13" x14ac:dyDescent="0.45">
      <c r="A26" s="4" t="s">
        <v>269</v>
      </c>
      <c r="B26" s="4" t="s">
        <v>270</v>
      </c>
      <c r="C26" s="4" t="s">
        <v>271</v>
      </c>
      <c r="D26" s="4" t="s">
        <v>80</v>
      </c>
      <c r="E26" s="4">
        <v>1</v>
      </c>
      <c r="F26" s="6">
        <v>46241</v>
      </c>
      <c r="G26" s="6">
        <v>46241</v>
      </c>
      <c r="H26" s="4" t="s">
        <v>266</v>
      </c>
      <c r="I26" s="4" t="b">
        <v>0</v>
      </c>
      <c r="J26" s="4" t="s">
        <v>46</v>
      </c>
      <c r="K26" s="4"/>
      <c r="L26" s="4" t="s">
        <v>65</v>
      </c>
      <c r="M26" s="4"/>
    </row>
    <row r="27" spans="1:13" x14ac:dyDescent="0.45">
      <c r="A27" s="4" t="s">
        <v>272</v>
      </c>
      <c r="B27" s="4" t="s">
        <v>273</v>
      </c>
      <c r="C27" s="4" t="s">
        <v>274</v>
      </c>
      <c r="D27" s="4" t="s">
        <v>80</v>
      </c>
      <c r="E27" s="4">
        <v>4</v>
      </c>
      <c r="F27" s="6">
        <v>46242</v>
      </c>
      <c r="G27" s="6">
        <v>46242</v>
      </c>
      <c r="H27" s="4" t="s">
        <v>269</v>
      </c>
      <c r="I27" s="4" t="b">
        <v>0</v>
      </c>
      <c r="J27" s="4" t="s">
        <v>46</v>
      </c>
      <c r="K27" s="4"/>
      <c r="L27" s="4" t="s">
        <v>68</v>
      </c>
      <c r="M27" s="4"/>
    </row>
    <row r="28" spans="1:13" x14ac:dyDescent="0.45">
      <c r="A28" s="4" t="s">
        <v>275</v>
      </c>
      <c r="B28" s="4" t="s">
        <v>276</v>
      </c>
      <c r="C28" s="4" t="s">
        <v>277</v>
      </c>
      <c r="D28" s="4" t="s">
        <v>80</v>
      </c>
      <c r="E28" s="4">
        <v>1</v>
      </c>
      <c r="F28" s="6">
        <v>46252</v>
      </c>
      <c r="G28" s="6">
        <v>46252</v>
      </c>
      <c r="H28" s="4"/>
      <c r="I28" s="4" t="b">
        <v>0</v>
      </c>
      <c r="J28" s="4" t="s">
        <v>46</v>
      </c>
      <c r="K28" s="4"/>
      <c r="L28" s="4" t="s">
        <v>68</v>
      </c>
      <c r="M28" s="4"/>
    </row>
    <row r="29" spans="1:13" x14ac:dyDescent="0.45">
      <c r="A29" s="4" t="s">
        <v>278</v>
      </c>
      <c r="B29" s="4" t="s">
        <v>279</v>
      </c>
      <c r="C29" s="4" t="s">
        <v>280</v>
      </c>
      <c r="D29" s="4" t="s">
        <v>80</v>
      </c>
      <c r="E29" s="4">
        <v>2</v>
      </c>
      <c r="F29" s="6">
        <v>46253</v>
      </c>
      <c r="G29" s="6">
        <v>46253</v>
      </c>
      <c r="H29" s="4" t="s">
        <v>281</v>
      </c>
      <c r="I29" s="4" t="b">
        <v>0</v>
      </c>
      <c r="J29" s="4" t="s">
        <v>46</v>
      </c>
      <c r="K29" s="4"/>
      <c r="L29" s="4" t="s">
        <v>68</v>
      </c>
      <c r="M29" s="4"/>
    </row>
    <row r="30" spans="1:13" x14ac:dyDescent="0.45">
      <c r="A30" s="4" t="s">
        <v>282</v>
      </c>
      <c r="B30" s="4" t="s">
        <v>283</v>
      </c>
      <c r="C30" s="4" t="s">
        <v>284</v>
      </c>
      <c r="D30" s="4" t="s">
        <v>141</v>
      </c>
      <c r="E30" s="4">
        <v>0.5</v>
      </c>
      <c r="F30" s="6">
        <v>46228</v>
      </c>
      <c r="G30" s="6">
        <v>46228</v>
      </c>
      <c r="H30" s="4"/>
      <c r="I30" s="4" t="b">
        <v>0</v>
      </c>
      <c r="J30" s="4" t="s">
        <v>46</v>
      </c>
      <c r="K30" s="4"/>
      <c r="L30" s="4" t="s">
        <v>44</v>
      </c>
      <c r="M30" s="4"/>
    </row>
    <row r="31" spans="1:13" x14ac:dyDescent="0.45">
      <c r="A31" s="4" t="s">
        <v>285</v>
      </c>
      <c r="B31" s="4" t="s">
        <v>286</v>
      </c>
      <c r="C31" s="4" t="s">
        <v>287</v>
      </c>
      <c r="D31" s="4" t="s">
        <v>141</v>
      </c>
      <c r="E31" s="4">
        <v>1</v>
      </c>
      <c r="F31" s="6">
        <v>46230</v>
      </c>
      <c r="G31" s="6">
        <v>46230</v>
      </c>
      <c r="H31" s="4" t="s">
        <v>205</v>
      </c>
      <c r="I31" s="4" t="b">
        <v>0</v>
      </c>
      <c r="J31" s="4" t="s">
        <v>46</v>
      </c>
      <c r="K31" s="4"/>
      <c r="L31" s="4" t="s">
        <v>50</v>
      </c>
      <c r="M31" s="4"/>
    </row>
    <row r="32" spans="1:13" x14ac:dyDescent="0.45">
      <c r="A32" s="4" t="s">
        <v>288</v>
      </c>
      <c r="B32" s="4" t="s">
        <v>289</v>
      </c>
      <c r="C32" s="4" t="s">
        <v>290</v>
      </c>
      <c r="D32" s="4" t="s">
        <v>141</v>
      </c>
      <c r="E32" s="4">
        <v>1</v>
      </c>
      <c r="F32" s="6">
        <v>46236</v>
      </c>
      <c r="G32" s="6">
        <v>46236</v>
      </c>
      <c r="H32" s="4" t="s">
        <v>255</v>
      </c>
      <c r="I32" s="4" t="b">
        <v>0</v>
      </c>
      <c r="J32" s="4" t="s">
        <v>46</v>
      </c>
      <c r="K32" s="4"/>
      <c r="L32" s="4" t="s">
        <v>59</v>
      </c>
      <c r="M32" s="4"/>
    </row>
    <row r="33" spans="1:13" x14ac:dyDescent="0.45">
      <c r="A33" s="4" t="s">
        <v>291</v>
      </c>
      <c r="B33" s="4" t="s">
        <v>292</v>
      </c>
      <c r="C33" s="4" t="s">
        <v>293</v>
      </c>
      <c r="D33" s="4" t="s">
        <v>141</v>
      </c>
      <c r="E33" s="4">
        <v>1</v>
      </c>
      <c r="F33" s="6">
        <v>46237</v>
      </c>
      <c r="G33" s="6">
        <v>46237</v>
      </c>
      <c r="H33" s="4" t="s">
        <v>288</v>
      </c>
      <c r="I33" s="4" t="b">
        <v>0</v>
      </c>
      <c r="J33" s="4" t="s">
        <v>46</v>
      </c>
      <c r="K33" s="4"/>
      <c r="L33" s="4" t="s">
        <v>59</v>
      </c>
      <c r="M33" s="4"/>
    </row>
    <row r="34" spans="1:13" x14ac:dyDescent="0.45">
      <c r="A34" s="4" t="s">
        <v>294</v>
      </c>
      <c r="B34" s="4" t="s">
        <v>295</v>
      </c>
      <c r="C34" s="4" t="s">
        <v>296</v>
      </c>
      <c r="D34" s="4" t="s">
        <v>141</v>
      </c>
      <c r="E34" s="4">
        <v>2</v>
      </c>
      <c r="F34" s="6">
        <v>46238</v>
      </c>
      <c r="G34" s="6">
        <v>46238</v>
      </c>
      <c r="H34" s="4" t="s">
        <v>255</v>
      </c>
      <c r="I34" s="4" t="b">
        <v>0</v>
      </c>
      <c r="J34" s="4" t="s">
        <v>46</v>
      </c>
      <c r="K34" s="4"/>
      <c r="L34" s="4" t="s">
        <v>62</v>
      </c>
      <c r="M34" s="4"/>
    </row>
    <row r="35" spans="1:13" x14ac:dyDescent="0.45">
      <c r="A35" s="4" t="s">
        <v>297</v>
      </c>
      <c r="B35" s="4" t="s">
        <v>298</v>
      </c>
      <c r="C35" s="4" t="s">
        <v>299</v>
      </c>
      <c r="D35" s="4" t="s">
        <v>141</v>
      </c>
      <c r="E35" s="4">
        <v>3</v>
      </c>
      <c r="F35" s="6">
        <v>46238</v>
      </c>
      <c r="G35" s="6">
        <v>46238</v>
      </c>
      <c r="H35" s="4" t="s">
        <v>294</v>
      </c>
      <c r="I35" s="4" t="b">
        <v>0</v>
      </c>
      <c r="J35" s="4" t="s">
        <v>46</v>
      </c>
      <c r="K35" s="4"/>
      <c r="L35" s="4" t="s">
        <v>62</v>
      </c>
      <c r="M35" s="4"/>
    </row>
    <row r="36" spans="1:13" x14ac:dyDescent="0.45">
      <c r="A36" s="4" t="s">
        <v>300</v>
      </c>
      <c r="B36" s="4" t="s">
        <v>301</v>
      </c>
      <c r="C36" s="4" t="s">
        <v>302</v>
      </c>
      <c r="D36" s="4" t="s">
        <v>141</v>
      </c>
      <c r="E36" s="4">
        <v>2</v>
      </c>
      <c r="F36" s="6">
        <v>46239</v>
      </c>
      <c r="G36" s="6">
        <v>46239</v>
      </c>
      <c r="H36" s="4" t="s">
        <v>297</v>
      </c>
      <c r="I36" s="4" t="b">
        <v>0</v>
      </c>
      <c r="J36" s="4" t="s">
        <v>46</v>
      </c>
      <c r="K36" s="4"/>
      <c r="L36" s="4" t="s">
        <v>62</v>
      </c>
      <c r="M36" s="4"/>
    </row>
    <row r="37" spans="1:13" x14ac:dyDescent="0.45">
      <c r="A37" s="4" t="s">
        <v>303</v>
      </c>
      <c r="B37" s="4" t="s">
        <v>304</v>
      </c>
      <c r="C37" s="4" t="s">
        <v>305</v>
      </c>
      <c r="D37" s="4" t="s">
        <v>141</v>
      </c>
      <c r="E37" s="4">
        <v>2</v>
      </c>
      <c r="F37" s="6">
        <v>46239</v>
      </c>
      <c r="G37" s="6">
        <v>46239</v>
      </c>
      <c r="H37" s="4" t="s">
        <v>300</v>
      </c>
      <c r="I37" s="4" t="b">
        <v>0</v>
      </c>
      <c r="J37" s="4" t="s">
        <v>46</v>
      </c>
      <c r="K37" s="4"/>
      <c r="L37" s="4" t="s">
        <v>62</v>
      </c>
      <c r="M37" s="4"/>
    </row>
    <row r="38" spans="1:13" x14ac:dyDescent="0.45">
      <c r="A38" s="4" t="s">
        <v>261</v>
      </c>
      <c r="B38" s="4" t="s">
        <v>306</v>
      </c>
      <c r="C38" s="4" t="s">
        <v>307</v>
      </c>
      <c r="D38" s="4" t="s">
        <v>141</v>
      </c>
      <c r="E38" s="4">
        <v>1</v>
      </c>
      <c r="F38" s="6">
        <v>46240</v>
      </c>
      <c r="G38" s="6">
        <v>46240</v>
      </c>
      <c r="H38" s="4" t="s">
        <v>308</v>
      </c>
      <c r="I38" s="4" t="b">
        <v>0</v>
      </c>
      <c r="J38" s="4" t="s">
        <v>46</v>
      </c>
      <c r="K38" s="4"/>
      <c r="L38" s="4" t="s">
        <v>65</v>
      </c>
      <c r="M38" s="4"/>
    </row>
    <row r="39" spans="1:13" x14ac:dyDescent="0.45">
      <c r="A39" s="4" t="s">
        <v>309</v>
      </c>
      <c r="B39" s="4" t="s">
        <v>310</v>
      </c>
      <c r="C39" s="4" t="s">
        <v>311</v>
      </c>
      <c r="D39" s="4" t="s">
        <v>141</v>
      </c>
      <c r="E39" s="4">
        <v>2</v>
      </c>
      <c r="F39" s="6">
        <v>46244</v>
      </c>
      <c r="G39" s="6">
        <v>46244</v>
      </c>
      <c r="H39" s="4" t="s">
        <v>272</v>
      </c>
      <c r="I39" s="4" t="b">
        <v>0</v>
      </c>
      <c r="J39" s="4" t="s">
        <v>46</v>
      </c>
      <c r="K39" s="4"/>
      <c r="L39" s="4" t="s">
        <v>68</v>
      </c>
      <c r="M39" s="4"/>
    </row>
    <row r="40" spans="1:13" x14ac:dyDescent="0.45">
      <c r="A40" s="4" t="s">
        <v>312</v>
      </c>
      <c r="B40" s="4" t="s">
        <v>313</v>
      </c>
      <c r="C40" s="4" t="s">
        <v>314</v>
      </c>
      <c r="D40" s="4" t="s">
        <v>141</v>
      </c>
      <c r="E40" s="4">
        <v>3</v>
      </c>
      <c r="F40" s="6">
        <v>46249</v>
      </c>
      <c r="G40" s="6">
        <v>46249</v>
      </c>
      <c r="H40" s="4" t="s">
        <v>309</v>
      </c>
      <c r="I40" s="4" t="b">
        <v>0</v>
      </c>
      <c r="J40" s="4" t="s">
        <v>46</v>
      </c>
      <c r="K40" s="4"/>
      <c r="L40" s="4" t="s">
        <v>68</v>
      </c>
      <c r="M40" s="4"/>
    </row>
    <row r="41" spans="1:13" x14ac:dyDescent="0.45">
      <c r="A41" s="4" t="s">
        <v>281</v>
      </c>
      <c r="B41" s="4" t="s">
        <v>315</v>
      </c>
      <c r="C41" s="4" t="s">
        <v>165</v>
      </c>
      <c r="D41" s="4" t="s">
        <v>141</v>
      </c>
      <c r="E41" s="4">
        <v>2</v>
      </c>
      <c r="F41" s="6">
        <v>46252</v>
      </c>
      <c r="G41" s="6">
        <v>46252</v>
      </c>
      <c r="H41" s="4" t="s">
        <v>312</v>
      </c>
      <c r="I41" s="4" t="b">
        <v>0</v>
      </c>
      <c r="J41" s="4" t="s">
        <v>46</v>
      </c>
      <c r="K41" s="4"/>
      <c r="L41" s="4" t="s">
        <v>68</v>
      </c>
      <c r="M41" s="4"/>
    </row>
    <row r="42" spans="1:13" x14ac:dyDescent="0.45">
      <c r="A42" s="4" t="s">
        <v>316</v>
      </c>
      <c r="B42" s="4" t="s">
        <v>317</v>
      </c>
      <c r="C42" s="4" t="s">
        <v>318</v>
      </c>
      <c r="D42" s="4" t="s">
        <v>171</v>
      </c>
      <c r="E42" s="4">
        <v>1</v>
      </c>
      <c r="F42" s="6">
        <v>46239</v>
      </c>
      <c r="G42" s="6">
        <v>46239</v>
      </c>
      <c r="H42" s="4" t="s">
        <v>303</v>
      </c>
      <c r="I42" s="4" t="b">
        <v>0</v>
      </c>
      <c r="J42" s="4" t="s">
        <v>46</v>
      </c>
      <c r="K42" s="4"/>
      <c r="L42" s="4" t="s">
        <v>62</v>
      </c>
      <c r="M42" s="4"/>
    </row>
    <row r="43" spans="1:13" x14ac:dyDescent="0.45">
      <c r="A43" s="4" t="s">
        <v>319</v>
      </c>
      <c r="B43" s="4" t="s">
        <v>320</v>
      </c>
      <c r="C43" s="4" t="s">
        <v>321</v>
      </c>
      <c r="D43" s="4" t="s">
        <v>171</v>
      </c>
      <c r="E43" s="4">
        <v>2</v>
      </c>
      <c r="F43" s="6">
        <v>46246</v>
      </c>
      <c r="G43" s="6">
        <v>46246</v>
      </c>
      <c r="H43" s="4" t="s">
        <v>272</v>
      </c>
      <c r="I43" s="4" t="b">
        <v>0</v>
      </c>
      <c r="J43" s="4" t="s">
        <v>46</v>
      </c>
      <c r="K43" s="4"/>
      <c r="L43" s="4" t="s">
        <v>68</v>
      </c>
      <c r="M43" s="4"/>
    </row>
  </sheetData>
  <autoFilter ref="A1:M43" xr:uid="{00000000-0009-0000-0000-000004000000}"/>
  <conditionalFormatting sqref="D2:D43">
    <cfRule type="expression" dxfId="26" priority="1">
      <formula>D2="Critical"</formula>
    </cfRule>
    <cfRule type="expression" dxfId="25" priority="2">
      <formula>D2="High"</formula>
    </cfRule>
    <cfRule type="expression" dxfId="24" priority="3">
      <formula>D2="Medium"</formula>
    </cfRule>
    <cfRule type="expression" dxfId="23" priority="4">
      <formula>D2="Low"</formula>
    </cfRule>
  </conditionalFormatting>
  <conditionalFormatting sqref="I2:I43">
    <cfRule type="cellIs" dxfId="22" priority="5" operator="equal">
      <formula>TRUE</formula>
    </cfRule>
    <cfRule type="cellIs" dxfId="21" priority="6" operator="equal">
      <formula>FALSE</formula>
    </cfRule>
  </conditionalFormatting>
  <conditionalFormatting sqref="J2:J43">
    <cfRule type="expression" dxfId="20" priority="7">
      <formula>J2="Done"</formula>
    </cfRule>
    <cfRule type="expression" dxfId="19" priority="8">
      <formula>J2="In Progress"</formula>
    </cfRule>
    <cfRule type="expression" dxfId="18" priority="9">
      <formula>J2="Not Started"</formula>
    </cfRule>
    <cfRule type="expression" dxfId="17" priority="10">
      <formula>J2="Blocked"</formula>
    </cfRule>
    <cfRule type="expression" dxfId="16" priority="11">
      <formula>J2="Skipped"</formula>
    </cfRule>
  </conditionalFormatting>
  <dataValidations count="3">
    <dataValidation type="list" allowBlank="1" sqref="I2:I43" xr:uid="{00000000-0002-0000-0400-000000000000}">
      <formula1>"TRUE,FALSE"</formula1>
    </dataValidation>
    <dataValidation type="list" allowBlank="1" sqref="J2:J43" xr:uid="{00000000-0002-0000-0400-000001000000}">
      <formula1>"Done,In Progress,Not Started,Blocked,Skipped"</formula1>
    </dataValidation>
    <dataValidation type="list" allowBlank="1" sqref="D2:D43" xr:uid="{00000000-0002-0000-0400-000002000000}">
      <formula1>"Critical,High,Medium,Low"</formula1>
    </dataValidation>
  </dataValidation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21"/>
  <sheetViews>
    <sheetView showGridLines="0" workbookViewId="0">
      <pane xSplit="1" ySplit="1" topLeftCell="B12" activePane="bottomRight" state="frozen"/>
      <selection pane="topRight"/>
      <selection pane="bottomLeft"/>
      <selection pane="bottomRight" activeCell="I6" sqref="I6"/>
    </sheetView>
  </sheetViews>
  <sheetFormatPr defaultRowHeight="14.25" x14ac:dyDescent="0.45"/>
  <cols>
    <col min="1" max="3" width="12" customWidth="1"/>
    <col min="4" max="5" width="28" customWidth="1"/>
    <col min="6" max="6" width="12" customWidth="1"/>
    <col min="7" max="7" width="14" customWidth="1"/>
    <col min="8" max="8" width="30" customWidth="1"/>
    <col min="9" max="9" width="15" customWidth="1"/>
    <col min="10" max="10" width="12" customWidth="1"/>
  </cols>
  <sheetData>
    <row r="1" spans="1:10" ht="25.05" customHeight="1" x14ac:dyDescent="0.45">
      <c r="A1" s="1" t="s">
        <v>322</v>
      </c>
      <c r="B1" s="1" t="s">
        <v>323</v>
      </c>
      <c r="C1" s="1" t="s">
        <v>324</v>
      </c>
      <c r="D1" s="1" t="s">
        <v>325</v>
      </c>
      <c r="E1" s="1" t="s">
        <v>326</v>
      </c>
      <c r="F1" s="1" t="s">
        <v>39</v>
      </c>
      <c r="G1" s="1" t="s">
        <v>327</v>
      </c>
      <c r="H1" s="1" t="s">
        <v>194</v>
      </c>
      <c r="I1" s="1" t="s">
        <v>328</v>
      </c>
      <c r="J1" s="1" t="s">
        <v>195</v>
      </c>
    </row>
    <row r="2" spans="1:10" ht="42.75" x14ac:dyDescent="0.45">
      <c r="A2" s="4" t="s">
        <v>329</v>
      </c>
      <c r="B2" s="6">
        <v>46228</v>
      </c>
      <c r="C2" s="4" t="s">
        <v>330</v>
      </c>
      <c r="D2" s="4" t="s">
        <v>331</v>
      </c>
      <c r="E2" s="4" t="s">
        <v>332</v>
      </c>
      <c r="F2" s="4" t="b">
        <v>0</v>
      </c>
      <c r="G2" s="4">
        <v>0</v>
      </c>
      <c r="H2" s="4"/>
      <c r="I2" s="4"/>
      <c r="J2" s="4" t="s">
        <v>44</v>
      </c>
    </row>
    <row r="3" spans="1:10" ht="28.5" x14ac:dyDescent="0.45">
      <c r="A3" s="4" t="s">
        <v>333</v>
      </c>
      <c r="B3" s="6">
        <v>46230</v>
      </c>
      <c r="C3" s="4" t="s">
        <v>334</v>
      </c>
      <c r="D3" s="4" t="s">
        <v>335</v>
      </c>
      <c r="E3" s="4" t="s">
        <v>336</v>
      </c>
      <c r="F3" s="4" t="b">
        <v>0</v>
      </c>
      <c r="G3" s="4">
        <v>0</v>
      </c>
      <c r="H3" s="4"/>
      <c r="I3" s="4"/>
      <c r="J3" s="4" t="s">
        <v>50</v>
      </c>
    </row>
    <row r="4" spans="1:10" ht="42.75" x14ac:dyDescent="0.45">
      <c r="A4" s="4" t="s">
        <v>337</v>
      </c>
      <c r="B4" s="6">
        <v>46231</v>
      </c>
      <c r="C4" s="4" t="s">
        <v>338</v>
      </c>
      <c r="D4" s="4" t="s">
        <v>339</v>
      </c>
      <c r="E4" s="4" t="s">
        <v>340</v>
      </c>
      <c r="F4" s="4" t="b">
        <v>0</v>
      </c>
      <c r="G4" s="4">
        <v>0</v>
      </c>
      <c r="H4" s="4"/>
      <c r="I4" s="4"/>
      <c r="J4" s="4" t="s">
        <v>50</v>
      </c>
    </row>
    <row r="5" spans="1:10" ht="42.75" x14ac:dyDescent="0.45">
      <c r="A5" s="4" t="s">
        <v>341</v>
      </c>
      <c r="B5" s="6">
        <v>46232</v>
      </c>
      <c r="C5" s="4" t="s">
        <v>342</v>
      </c>
      <c r="D5" s="4" t="s">
        <v>343</v>
      </c>
      <c r="E5" s="4" t="s">
        <v>344</v>
      </c>
      <c r="F5" s="4" t="b">
        <v>0</v>
      </c>
      <c r="G5" s="4">
        <v>0</v>
      </c>
      <c r="H5" s="4"/>
      <c r="I5" s="4"/>
      <c r="J5" s="4" t="s">
        <v>53</v>
      </c>
    </row>
    <row r="6" spans="1:10" ht="42.75" x14ac:dyDescent="0.45">
      <c r="A6" s="4" t="s">
        <v>345</v>
      </c>
      <c r="B6" s="6">
        <v>46233</v>
      </c>
      <c r="C6" s="4" t="s">
        <v>346</v>
      </c>
      <c r="D6" s="4" t="s">
        <v>347</v>
      </c>
      <c r="E6" s="4" t="s">
        <v>348</v>
      </c>
      <c r="F6" s="4" t="b">
        <v>0</v>
      </c>
      <c r="G6" s="4">
        <v>0</v>
      </c>
      <c r="H6" s="4"/>
      <c r="I6" s="4"/>
      <c r="J6" s="4" t="s">
        <v>56</v>
      </c>
    </row>
    <row r="7" spans="1:10" ht="28.5" x14ac:dyDescent="0.45">
      <c r="A7" s="4" t="s">
        <v>349</v>
      </c>
      <c r="B7" s="6">
        <v>46234</v>
      </c>
      <c r="C7" s="4" t="s">
        <v>350</v>
      </c>
      <c r="D7" s="4" t="s">
        <v>351</v>
      </c>
      <c r="E7" s="4" t="s">
        <v>352</v>
      </c>
      <c r="F7" s="4" t="b">
        <v>0</v>
      </c>
      <c r="G7" s="4">
        <v>0</v>
      </c>
      <c r="H7" s="4"/>
      <c r="I7" s="4"/>
      <c r="J7" s="4" t="s">
        <v>56</v>
      </c>
    </row>
    <row r="8" spans="1:10" ht="28.5" x14ac:dyDescent="0.45">
      <c r="A8" s="4" t="s">
        <v>353</v>
      </c>
      <c r="B8" s="6">
        <v>46235</v>
      </c>
      <c r="C8" s="4" t="s">
        <v>330</v>
      </c>
      <c r="D8" s="4" t="s">
        <v>354</v>
      </c>
      <c r="E8" s="4" t="s">
        <v>355</v>
      </c>
      <c r="F8" s="4" t="b">
        <v>0</v>
      </c>
      <c r="G8" s="4">
        <v>0</v>
      </c>
      <c r="H8" s="4"/>
      <c r="I8" s="4"/>
      <c r="J8" s="4" t="s">
        <v>59</v>
      </c>
    </row>
    <row r="9" spans="1:10" ht="28.5" x14ac:dyDescent="0.45">
      <c r="A9" s="4" t="s">
        <v>356</v>
      </c>
      <c r="B9" s="6">
        <v>46236</v>
      </c>
      <c r="C9" s="4" t="s">
        <v>357</v>
      </c>
      <c r="D9" s="4" t="s">
        <v>358</v>
      </c>
      <c r="E9" s="4" t="s">
        <v>359</v>
      </c>
      <c r="F9" s="4" t="b">
        <v>0</v>
      </c>
      <c r="G9" s="4">
        <v>0</v>
      </c>
      <c r="H9" s="4"/>
      <c r="I9" s="4"/>
      <c r="J9" s="4" t="s">
        <v>59</v>
      </c>
    </row>
    <row r="10" spans="1:10" ht="28.5" x14ac:dyDescent="0.45">
      <c r="A10" s="4" t="s">
        <v>360</v>
      </c>
      <c r="B10" s="6">
        <v>46237</v>
      </c>
      <c r="C10" s="4" t="s">
        <v>334</v>
      </c>
      <c r="D10" s="4" t="s">
        <v>361</v>
      </c>
      <c r="E10" s="4" t="s">
        <v>362</v>
      </c>
      <c r="F10" s="4" t="b">
        <v>0</v>
      </c>
      <c r="G10" s="4">
        <v>0</v>
      </c>
      <c r="H10" s="4"/>
      <c r="I10" s="4"/>
      <c r="J10" s="4" t="s">
        <v>62</v>
      </c>
    </row>
    <row r="11" spans="1:10" ht="28.5" x14ac:dyDescent="0.45">
      <c r="A11" s="4" t="s">
        <v>363</v>
      </c>
      <c r="B11" s="6">
        <v>46238</v>
      </c>
      <c r="C11" s="4" t="s">
        <v>338</v>
      </c>
      <c r="D11" s="4" t="s">
        <v>364</v>
      </c>
      <c r="E11" s="4" t="s">
        <v>365</v>
      </c>
      <c r="F11" s="4" t="b">
        <v>0</v>
      </c>
      <c r="G11" s="4">
        <v>0</v>
      </c>
      <c r="H11" s="4"/>
      <c r="I11" s="4"/>
      <c r="J11" s="4" t="s">
        <v>62</v>
      </c>
    </row>
    <row r="12" spans="1:10" ht="28.5" x14ac:dyDescent="0.45">
      <c r="A12" s="4" t="s">
        <v>366</v>
      </c>
      <c r="B12" s="6">
        <v>46239</v>
      </c>
      <c r="C12" s="4" t="s">
        <v>342</v>
      </c>
      <c r="D12" s="4" t="s">
        <v>66</v>
      </c>
      <c r="E12" s="4" t="s">
        <v>367</v>
      </c>
      <c r="F12" s="4" t="b">
        <v>0</v>
      </c>
      <c r="G12" s="4">
        <v>0</v>
      </c>
      <c r="H12" s="4"/>
      <c r="I12" s="4"/>
      <c r="J12" s="4" t="s">
        <v>65</v>
      </c>
    </row>
    <row r="13" spans="1:10" ht="28.5" x14ac:dyDescent="0.45">
      <c r="A13" s="4" t="s">
        <v>368</v>
      </c>
      <c r="B13" s="6">
        <v>46240</v>
      </c>
      <c r="C13" s="4" t="s">
        <v>346</v>
      </c>
      <c r="D13" s="4" t="s">
        <v>369</v>
      </c>
      <c r="E13" s="4" t="s">
        <v>370</v>
      </c>
      <c r="F13" s="4" t="b">
        <v>0</v>
      </c>
      <c r="G13" s="4">
        <v>0</v>
      </c>
      <c r="H13" s="4"/>
      <c r="I13" s="4"/>
      <c r="J13" s="4" t="s">
        <v>65</v>
      </c>
    </row>
    <row r="14" spans="1:10" ht="28.5" x14ac:dyDescent="0.45">
      <c r="A14" s="4" t="s">
        <v>371</v>
      </c>
      <c r="B14" s="6">
        <v>46241</v>
      </c>
      <c r="C14" s="4" t="s">
        <v>350</v>
      </c>
      <c r="D14" s="4" t="s">
        <v>25</v>
      </c>
      <c r="E14" s="4" t="s">
        <v>372</v>
      </c>
      <c r="F14" s="4" t="b">
        <v>0</v>
      </c>
      <c r="G14" s="4">
        <v>0</v>
      </c>
      <c r="H14" s="4" t="s">
        <v>262</v>
      </c>
      <c r="I14" s="4"/>
      <c r="J14" s="4" t="s">
        <v>65</v>
      </c>
    </row>
    <row r="15" spans="1:10" ht="28.5" x14ac:dyDescent="0.45">
      <c r="A15" s="4" t="s">
        <v>373</v>
      </c>
      <c r="B15" s="6">
        <v>46242</v>
      </c>
      <c r="C15" s="4" t="s">
        <v>330</v>
      </c>
      <c r="D15" s="4" t="s">
        <v>374</v>
      </c>
      <c r="E15" s="4" t="s">
        <v>375</v>
      </c>
      <c r="F15" s="4" t="b">
        <v>0</v>
      </c>
      <c r="G15" s="4">
        <v>0</v>
      </c>
      <c r="H15" s="4"/>
      <c r="I15" s="4"/>
      <c r="J15" s="4" t="s">
        <v>68</v>
      </c>
    </row>
    <row r="16" spans="1:10" ht="28.5" x14ac:dyDescent="0.45">
      <c r="A16" s="4" t="s">
        <v>376</v>
      </c>
      <c r="B16" s="6">
        <v>46244</v>
      </c>
      <c r="C16" s="4" t="s">
        <v>334</v>
      </c>
      <c r="D16" s="4" t="s">
        <v>377</v>
      </c>
      <c r="E16" s="4" t="s">
        <v>378</v>
      </c>
      <c r="F16" s="4" t="b">
        <v>0</v>
      </c>
      <c r="G16" s="4">
        <v>0</v>
      </c>
      <c r="H16" s="4"/>
      <c r="I16" s="4"/>
      <c r="J16" s="4" t="s">
        <v>68</v>
      </c>
    </row>
    <row r="17" spans="1:10" ht="28.5" x14ac:dyDescent="0.45">
      <c r="A17" s="4" t="s">
        <v>379</v>
      </c>
      <c r="B17" s="6">
        <v>46246</v>
      </c>
      <c r="C17" s="4" t="s">
        <v>342</v>
      </c>
      <c r="D17" s="4" t="s">
        <v>380</v>
      </c>
      <c r="E17" s="4" t="s">
        <v>381</v>
      </c>
      <c r="F17" s="4" t="b">
        <v>0</v>
      </c>
      <c r="G17" s="4">
        <v>0</v>
      </c>
      <c r="H17" s="4"/>
      <c r="I17" s="4"/>
      <c r="J17" s="4" t="s">
        <v>68</v>
      </c>
    </row>
    <row r="18" spans="1:10" ht="28.5" x14ac:dyDescent="0.45">
      <c r="A18" s="4" t="s">
        <v>382</v>
      </c>
      <c r="B18" s="6">
        <v>46249</v>
      </c>
      <c r="C18" s="4" t="s">
        <v>330</v>
      </c>
      <c r="D18" s="4" t="s">
        <v>383</v>
      </c>
      <c r="E18" s="4" t="s">
        <v>384</v>
      </c>
      <c r="F18" s="4" t="b">
        <v>0</v>
      </c>
      <c r="G18" s="4">
        <v>0</v>
      </c>
      <c r="H18" s="4"/>
      <c r="I18" s="4"/>
      <c r="J18" s="4" t="s">
        <v>68</v>
      </c>
    </row>
    <row r="19" spans="1:10" ht="28.5" x14ac:dyDescent="0.45">
      <c r="A19" s="4" t="s">
        <v>385</v>
      </c>
      <c r="B19" s="6">
        <v>46252</v>
      </c>
      <c r="C19" s="4" t="s">
        <v>338</v>
      </c>
      <c r="D19" s="4" t="s">
        <v>386</v>
      </c>
      <c r="E19" s="4" t="s">
        <v>387</v>
      </c>
      <c r="F19" s="4" t="b">
        <v>0</v>
      </c>
      <c r="G19" s="4">
        <v>0</v>
      </c>
      <c r="H19" s="4"/>
      <c r="I19" s="4"/>
      <c r="J19" s="4" t="s">
        <v>68</v>
      </c>
    </row>
    <row r="20" spans="1:10" ht="28.5" x14ac:dyDescent="0.45">
      <c r="A20" s="4" t="s">
        <v>388</v>
      </c>
      <c r="B20" s="6">
        <v>46253</v>
      </c>
      <c r="C20" s="4" t="s">
        <v>342</v>
      </c>
      <c r="D20" s="4" t="s">
        <v>389</v>
      </c>
      <c r="E20" s="4" t="s">
        <v>390</v>
      </c>
      <c r="F20" s="4" t="b">
        <v>0</v>
      </c>
      <c r="G20" s="4">
        <v>0</v>
      </c>
      <c r="H20" s="4"/>
      <c r="I20" s="4"/>
      <c r="J20" s="4" t="s">
        <v>68</v>
      </c>
    </row>
    <row r="21" spans="1:10" ht="28.5" x14ac:dyDescent="0.45">
      <c r="A21" s="4" t="s">
        <v>24</v>
      </c>
      <c r="B21" s="6">
        <v>46253</v>
      </c>
      <c r="C21" s="4" t="s">
        <v>342</v>
      </c>
      <c r="D21" s="4" t="s">
        <v>391</v>
      </c>
      <c r="E21" s="4" t="s">
        <v>392</v>
      </c>
      <c r="F21" s="4" t="b">
        <v>0</v>
      </c>
      <c r="G21" s="4">
        <v>0</v>
      </c>
      <c r="H21" s="4"/>
      <c r="I21" s="4"/>
      <c r="J21" s="4" t="s">
        <v>68</v>
      </c>
    </row>
  </sheetData>
  <autoFilter ref="A1:J21" xr:uid="{00000000-0009-0000-0000-000005000000}"/>
  <conditionalFormatting sqref="F2:F21">
    <cfRule type="cellIs" dxfId="15" priority="1" operator="equal">
      <formula>TRUE</formula>
    </cfRule>
    <cfRule type="cellIs" dxfId="14" priority="2" operator="equal">
      <formula>FALSE</formula>
    </cfRule>
  </conditionalFormatting>
  <conditionalFormatting sqref="I2:I21">
    <cfRule type="expression" dxfId="13" priority="3">
      <formula>I2="Done"</formula>
    </cfRule>
    <cfRule type="expression" dxfId="12" priority="4">
      <formula>I2="In Progress"</formula>
    </cfRule>
    <cfRule type="expression" dxfId="11" priority="5">
      <formula>I2="Not Started"</formula>
    </cfRule>
    <cfRule type="expression" dxfId="10" priority="6">
      <formula>I2="Blocked"</formula>
    </cfRule>
    <cfRule type="expression" dxfId="9" priority="7">
      <formula>I2="Skipped"</formula>
    </cfRule>
  </conditionalFormatting>
  <dataValidations count="1">
    <dataValidation type="list" allowBlank="1" sqref="F2:F21" xr:uid="{00000000-0002-0000-0500-000000000000}">
      <formula1>"TRUE,FALSE"</formula1>
    </dataValidation>
  </dataValidations>
  <pageMargins left="0.75" right="0.75" top="1" bottom="1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21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24" customWidth="1"/>
    <col min="3" max="3" width="12" customWidth="1"/>
    <col min="4" max="6" width="15" customWidth="1"/>
    <col min="7" max="8" width="24" customWidth="1"/>
    <col min="9" max="9" width="12" customWidth="1"/>
    <col min="10" max="10" width="15" customWidth="1"/>
    <col min="11" max="11" width="22" customWidth="1"/>
  </cols>
  <sheetData>
    <row r="1" spans="1:11" ht="25.05" customHeight="1" x14ac:dyDescent="0.45">
      <c r="A1" s="1" t="s">
        <v>393</v>
      </c>
      <c r="B1" s="1" t="s">
        <v>394</v>
      </c>
      <c r="C1" s="1" t="s">
        <v>72</v>
      </c>
      <c r="D1" s="1" t="s">
        <v>395</v>
      </c>
      <c r="E1" s="1" t="s">
        <v>396</v>
      </c>
      <c r="F1" s="1" t="s">
        <v>397</v>
      </c>
      <c r="G1" s="1" t="s">
        <v>398</v>
      </c>
      <c r="H1" s="1" t="s">
        <v>399</v>
      </c>
      <c r="I1" s="1" t="s">
        <v>400</v>
      </c>
      <c r="J1" s="1" t="s">
        <v>29</v>
      </c>
      <c r="K1" s="1" t="s">
        <v>4</v>
      </c>
    </row>
    <row r="2" spans="1:11" ht="42.75" x14ac:dyDescent="0.45">
      <c r="A2" s="4" t="s">
        <v>401</v>
      </c>
      <c r="B2" s="4" t="s">
        <v>402</v>
      </c>
      <c r="C2" s="4" t="s">
        <v>110</v>
      </c>
      <c r="D2" s="4" t="s">
        <v>141</v>
      </c>
      <c r="E2" s="4" t="s">
        <v>80</v>
      </c>
      <c r="F2" s="4" t="s">
        <v>80</v>
      </c>
      <c r="G2" s="4" t="s">
        <v>403</v>
      </c>
      <c r="H2" s="4" t="s">
        <v>404</v>
      </c>
      <c r="I2" s="4" t="s">
        <v>28</v>
      </c>
      <c r="J2" s="4" t="s">
        <v>405</v>
      </c>
      <c r="K2" s="4" t="s">
        <v>406</v>
      </c>
    </row>
    <row r="3" spans="1:11" ht="28.5" x14ac:dyDescent="0.45">
      <c r="A3" s="4" t="s">
        <v>407</v>
      </c>
      <c r="B3" s="4" t="s">
        <v>408</v>
      </c>
      <c r="C3" s="4" t="s">
        <v>409</v>
      </c>
      <c r="D3" s="4" t="s">
        <v>141</v>
      </c>
      <c r="E3" s="4" t="s">
        <v>141</v>
      </c>
      <c r="F3" s="4" t="s">
        <v>141</v>
      </c>
      <c r="G3" s="4" t="s">
        <v>410</v>
      </c>
      <c r="H3" s="4" t="s">
        <v>411</v>
      </c>
      <c r="I3" s="4" t="s">
        <v>28</v>
      </c>
      <c r="J3" s="4" t="s">
        <v>405</v>
      </c>
      <c r="K3" s="4" t="s">
        <v>412</v>
      </c>
    </row>
    <row r="4" spans="1:11" x14ac:dyDescent="0.45">
      <c r="A4" s="4" t="s">
        <v>413</v>
      </c>
      <c r="B4" s="4" t="s">
        <v>414</v>
      </c>
      <c r="C4" s="4" t="s">
        <v>110</v>
      </c>
      <c r="D4" s="4" t="s">
        <v>141</v>
      </c>
      <c r="E4" s="4" t="s">
        <v>141</v>
      </c>
      <c r="F4" s="4" t="s">
        <v>141</v>
      </c>
      <c r="G4" s="4" t="s">
        <v>415</v>
      </c>
      <c r="H4" s="4" t="s">
        <v>416</v>
      </c>
      <c r="I4" s="4" t="s">
        <v>28</v>
      </c>
      <c r="J4" s="4" t="s">
        <v>405</v>
      </c>
      <c r="K4" s="4"/>
    </row>
    <row r="5" spans="1:11" ht="28.5" x14ac:dyDescent="0.45">
      <c r="A5" s="4" t="s">
        <v>417</v>
      </c>
      <c r="B5" s="4" t="s">
        <v>418</v>
      </c>
      <c r="C5" s="4" t="s">
        <v>409</v>
      </c>
      <c r="D5" s="4" t="s">
        <v>171</v>
      </c>
      <c r="E5" s="4" t="s">
        <v>80</v>
      </c>
      <c r="F5" s="4" t="s">
        <v>141</v>
      </c>
      <c r="G5" s="4" t="s">
        <v>419</v>
      </c>
      <c r="H5" s="4" t="s">
        <v>420</v>
      </c>
      <c r="I5" s="4" t="s">
        <v>28</v>
      </c>
      <c r="J5" s="4" t="s">
        <v>405</v>
      </c>
      <c r="K5" s="4" t="s">
        <v>421</v>
      </c>
    </row>
    <row r="6" spans="1:11" ht="28.5" x14ac:dyDescent="0.45">
      <c r="A6" s="4" t="s">
        <v>422</v>
      </c>
      <c r="B6" s="4" t="s">
        <v>423</v>
      </c>
      <c r="C6" s="4" t="s">
        <v>424</v>
      </c>
      <c r="D6" s="4" t="s">
        <v>171</v>
      </c>
      <c r="E6" s="4" t="s">
        <v>80</v>
      </c>
      <c r="F6" s="4" t="s">
        <v>141</v>
      </c>
      <c r="G6" s="4" t="s">
        <v>425</v>
      </c>
      <c r="H6" s="4" t="s">
        <v>426</v>
      </c>
      <c r="I6" s="4" t="s">
        <v>28</v>
      </c>
      <c r="J6" s="4" t="s">
        <v>405</v>
      </c>
      <c r="K6" s="4" t="s">
        <v>427</v>
      </c>
    </row>
    <row r="7" spans="1:11" ht="28.5" x14ac:dyDescent="0.45">
      <c r="A7" s="4" t="s">
        <v>428</v>
      </c>
      <c r="B7" s="4" t="s">
        <v>429</v>
      </c>
      <c r="C7" s="4" t="s">
        <v>110</v>
      </c>
      <c r="D7" s="4" t="s">
        <v>171</v>
      </c>
      <c r="E7" s="4" t="s">
        <v>80</v>
      </c>
      <c r="F7" s="4" t="s">
        <v>141</v>
      </c>
      <c r="G7" s="4" t="s">
        <v>430</v>
      </c>
      <c r="H7" s="4" t="s">
        <v>431</v>
      </c>
      <c r="I7" s="4" t="s">
        <v>28</v>
      </c>
      <c r="J7" s="4" t="s">
        <v>405</v>
      </c>
      <c r="K7" s="4" t="s">
        <v>432</v>
      </c>
    </row>
    <row r="8" spans="1:11" ht="28.5" x14ac:dyDescent="0.45">
      <c r="A8" s="4" t="s">
        <v>433</v>
      </c>
      <c r="B8" s="4" t="s">
        <v>434</v>
      </c>
      <c r="C8" s="4" t="s">
        <v>110</v>
      </c>
      <c r="D8" s="4" t="s">
        <v>171</v>
      </c>
      <c r="E8" s="4" t="s">
        <v>80</v>
      </c>
      <c r="F8" s="4" t="s">
        <v>141</v>
      </c>
      <c r="G8" s="4" t="s">
        <v>435</v>
      </c>
      <c r="H8" s="4" t="s">
        <v>436</v>
      </c>
      <c r="I8" s="4" t="s">
        <v>28</v>
      </c>
      <c r="J8" s="4" t="s">
        <v>405</v>
      </c>
      <c r="K8" s="4" t="s">
        <v>437</v>
      </c>
    </row>
    <row r="9" spans="1:11" ht="28.5" x14ac:dyDescent="0.45">
      <c r="A9" s="4" t="s">
        <v>438</v>
      </c>
      <c r="B9" s="4" t="s">
        <v>439</v>
      </c>
      <c r="C9" s="4" t="s">
        <v>110</v>
      </c>
      <c r="D9" s="4" t="s">
        <v>171</v>
      </c>
      <c r="E9" s="4" t="s">
        <v>80</v>
      </c>
      <c r="F9" s="4" t="s">
        <v>141</v>
      </c>
      <c r="G9" s="4" t="s">
        <v>440</v>
      </c>
      <c r="H9" s="4" t="s">
        <v>441</v>
      </c>
      <c r="I9" s="4" t="s">
        <v>28</v>
      </c>
      <c r="J9" s="4" t="s">
        <v>405</v>
      </c>
      <c r="K9" s="4"/>
    </row>
    <row r="10" spans="1:11" ht="28.5" x14ac:dyDescent="0.45">
      <c r="A10" s="4" t="s">
        <v>442</v>
      </c>
      <c r="B10" s="4" t="s">
        <v>443</v>
      </c>
      <c r="C10" s="4" t="s">
        <v>110</v>
      </c>
      <c r="D10" s="4" t="s">
        <v>171</v>
      </c>
      <c r="E10" s="4" t="s">
        <v>80</v>
      </c>
      <c r="F10" s="4" t="s">
        <v>141</v>
      </c>
      <c r="G10" s="4" t="s">
        <v>444</v>
      </c>
      <c r="H10" s="4" t="s">
        <v>445</v>
      </c>
      <c r="I10" s="4" t="s">
        <v>28</v>
      </c>
      <c r="J10" s="4" t="s">
        <v>405</v>
      </c>
      <c r="K10" s="4" t="s">
        <v>80</v>
      </c>
    </row>
    <row r="11" spans="1:11" ht="28.5" x14ac:dyDescent="0.45">
      <c r="A11" s="4" t="s">
        <v>446</v>
      </c>
      <c r="B11" s="4" t="s">
        <v>447</v>
      </c>
      <c r="C11" s="4" t="s">
        <v>110</v>
      </c>
      <c r="D11" s="4" t="s">
        <v>171</v>
      </c>
      <c r="E11" s="4" t="s">
        <v>80</v>
      </c>
      <c r="F11" s="4" t="s">
        <v>141</v>
      </c>
      <c r="G11" s="4" t="s">
        <v>448</v>
      </c>
      <c r="H11" s="4" t="s">
        <v>449</v>
      </c>
      <c r="I11" s="4" t="s">
        <v>28</v>
      </c>
      <c r="J11" s="4" t="s">
        <v>405</v>
      </c>
      <c r="K11" s="4"/>
    </row>
    <row r="12" spans="1:11" ht="28.5" x14ac:dyDescent="0.45">
      <c r="A12" s="4" t="s">
        <v>450</v>
      </c>
      <c r="B12" s="4" t="s">
        <v>451</v>
      </c>
      <c r="C12" s="4" t="s">
        <v>110</v>
      </c>
      <c r="D12" s="4" t="s">
        <v>185</v>
      </c>
      <c r="E12" s="4" t="s">
        <v>80</v>
      </c>
      <c r="F12" s="4" t="s">
        <v>171</v>
      </c>
      <c r="G12" s="4" t="s">
        <v>452</v>
      </c>
      <c r="H12" s="4" t="s">
        <v>453</v>
      </c>
      <c r="I12" s="4" t="s">
        <v>28</v>
      </c>
      <c r="J12" s="4" t="s">
        <v>405</v>
      </c>
      <c r="K12" s="4" t="s">
        <v>454</v>
      </c>
    </row>
    <row r="13" spans="1:11" ht="28.5" x14ac:dyDescent="0.45">
      <c r="A13" s="4" t="s">
        <v>455</v>
      </c>
      <c r="B13" s="4" t="s">
        <v>456</v>
      </c>
      <c r="C13" s="4" t="s">
        <v>424</v>
      </c>
      <c r="D13" s="4" t="s">
        <v>185</v>
      </c>
      <c r="E13" s="4" t="s">
        <v>141</v>
      </c>
      <c r="F13" s="4" t="s">
        <v>171</v>
      </c>
      <c r="G13" s="4" t="s">
        <v>457</v>
      </c>
      <c r="H13" s="4" t="s">
        <v>458</v>
      </c>
      <c r="I13" s="4" t="s">
        <v>28</v>
      </c>
      <c r="J13" s="4" t="s">
        <v>405</v>
      </c>
      <c r="K13" s="4"/>
    </row>
    <row r="14" spans="1:11" ht="28.5" x14ac:dyDescent="0.45">
      <c r="A14" s="4" t="s">
        <v>459</v>
      </c>
      <c r="B14" s="4" t="s">
        <v>460</v>
      </c>
      <c r="C14" s="4" t="s">
        <v>110</v>
      </c>
      <c r="D14" s="4" t="s">
        <v>185</v>
      </c>
      <c r="E14" s="4" t="s">
        <v>141</v>
      </c>
      <c r="F14" s="4" t="s">
        <v>171</v>
      </c>
      <c r="G14" s="4" t="s">
        <v>461</v>
      </c>
      <c r="H14" s="4" t="s">
        <v>462</v>
      </c>
      <c r="I14" s="4" t="s">
        <v>28</v>
      </c>
      <c r="J14" s="4" t="s">
        <v>405</v>
      </c>
      <c r="K14" s="4" t="s">
        <v>463</v>
      </c>
    </row>
    <row r="15" spans="1:11" ht="28.5" x14ac:dyDescent="0.45">
      <c r="A15" s="4" t="s">
        <v>464</v>
      </c>
      <c r="B15" s="4" t="s">
        <v>465</v>
      </c>
      <c r="C15" s="4" t="s">
        <v>110</v>
      </c>
      <c r="D15" s="4" t="s">
        <v>185</v>
      </c>
      <c r="E15" s="4" t="s">
        <v>141</v>
      </c>
      <c r="F15" s="4" t="s">
        <v>171</v>
      </c>
      <c r="G15" s="4" t="s">
        <v>466</v>
      </c>
      <c r="H15" s="4" t="s">
        <v>467</v>
      </c>
      <c r="I15" s="4" t="s">
        <v>28</v>
      </c>
      <c r="J15" s="4" t="s">
        <v>405</v>
      </c>
      <c r="K15" s="4"/>
    </row>
    <row r="16" spans="1:11" ht="28.5" x14ac:dyDescent="0.45">
      <c r="A16" s="4" t="s">
        <v>468</v>
      </c>
      <c r="B16" s="4" t="s">
        <v>469</v>
      </c>
      <c r="C16" s="4" t="s">
        <v>110</v>
      </c>
      <c r="D16" s="4" t="s">
        <v>185</v>
      </c>
      <c r="E16" s="4" t="s">
        <v>80</v>
      </c>
      <c r="F16" s="4" t="s">
        <v>171</v>
      </c>
      <c r="G16" s="4" t="s">
        <v>470</v>
      </c>
      <c r="H16" s="4" t="s">
        <v>471</v>
      </c>
      <c r="I16" s="4" t="s">
        <v>28</v>
      </c>
      <c r="J16" s="4" t="s">
        <v>405</v>
      </c>
      <c r="K16" s="4"/>
    </row>
    <row r="17" spans="1:11" ht="28.5" x14ac:dyDescent="0.45">
      <c r="A17" s="4" t="s">
        <v>472</v>
      </c>
      <c r="B17" s="4" t="s">
        <v>473</v>
      </c>
      <c r="C17" s="4" t="s">
        <v>474</v>
      </c>
      <c r="D17" s="4" t="s">
        <v>185</v>
      </c>
      <c r="E17" s="4" t="s">
        <v>80</v>
      </c>
      <c r="F17" s="4" t="s">
        <v>171</v>
      </c>
      <c r="G17" s="4" t="s">
        <v>475</v>
      </c>
      <c r="H17" s="4" t="s">
        <v>476</v>
      </c>
      <c r="I17" s="4" t="s">
        <v>28</v>
      </c>
      <c r="J17" s="4" t="s">
        <v>405</v>
      </c>
      <c r="K17" s="4" t="s">
        <v>477</v>
      </c>
    </row>
    <row r="18" spans="1:11" ht="28.5" x14ac:dyDescent="0.45">
      <c r="A18" s="4" t="s">
        <v>478</v>
      </c>
      <c r="B18" s="4" t="s">
        <v>479</v>
      </c>
      <c r="C18" s="4" t="s">
        <v>110</v>
      </c>
      <c r="D18" s="4" t="s">
        <v>185</v>
      </c>
      <c r="E18" s="4" t="s">
        <v>80</v>
      </c>
      <c r="F18" s="4" t="s">
        <v>171</v>
      </c>
      <c r="G18" s="4" t="s">
        <v>480</v>
      </c>
      <c r="H18" s="4" t="s">
        <v>481</v>
      </c>
      <c r="I18" s="4" t="s">
        <v>28</v>
      </c>
      <c r="J18" s="4" t="s">
        <v>405</v>
      </c>
      <c r="K18" s="4" t="s">
        <v>482</v>
      </c>
    </row>
    <row r="19" spans="1:11" x14ac:dyDescent="0.45">
      <c r="A19" s="4" t="s">
        <v>483</v>
      </c>
      <c r="B19" s="4" t="s">
        <v>484</v>
      </c>
      <c r="C19" s="4" t="s">
        <v>409</v>
      </c>
      <c r="D19" s="4" t="s">
        <v>171</v>
      </c>
      <c r="E19" s="4" t="s">
        <v>171</v>
      </c>
      <c r="F19" s="4" t="s">
        <v>171</v>
      </c>
      <c r="G19" s="4" t="s">
        <v>485</v>
      </c>
      <c r="H19" s="4" t="s">
        <v>486</v>
      </c>
      <c r="I19" s="4" t="s">
        <v>28</v>
      </c>
      <c r="J19" s="4" t="s">
        <v>405</v>
      </c>
      <c r="K19" s="4"/>
    </row>
    <row r="20" spans="1:11" ht="28.5" x14ac:dyDescent="0.45">
      <c r="A20" s="4" t="s">
        <v>487</v>
      </c>
      <c r="B20" s="4" t="s">
        <v>488</v>
      </c>
      <c r="C20" s="4" t="s">
        <v>424</v>
      </c>
      <c r="D20" s="4" t="s">
        <v>185</v>
      </c>
      <c r="E20" s="4" t="s">
        <v>185</v>
      </c>
      <c r="F20" s="4" t="s">
        <v>185</v>
      </c>
      <c r="G20" s="4" t="s">
        <v>489</v>
      </c>
      <c r="H20" s="4" t="s">
        <v>490</v>
      </c>
      <c r="I20" s="4" t="s">
        <v>28</v>
      </c>
      <c r="J20" s="4" t="s">
        <v>405</v>
      </c>
      <c r="K20" s="4"/>
    </row>
    <row r="21" spans="1:11" ht="28.5" x14ac:dyDescent="0.45">
      <c r="A21" s="4" t="s">
        <v>491</v>
      </c>
      <c r="B21" s="4" t="s">
        <v>492</v>
      </c>
      <c r="C21" s="4" t="s">
        <v>474</v>
      </c>
      <c r="D21" s="4" t="s">
        <v>185</v>
      </c>
      <c r="E21" s="4" t="s">
        <v>171</v>
      </c>
      <c r="F21" s="4" t="s">
        <v>185</v>
      </c>
      <c r="G21" s="4" t="s">
        <v>493</v>
      </c>
      <c r="H21" s="4" t="s">
        <v>494</v>
      </c>
      <c r="I21" s="4" t="s">
        <v>28</v>
      </c>
      <c r="J21" s="4" t="s">
        <v>405</v>
      </c>
      <c r="K21" s="4" t="s">
        <v>495</v>
      </c>
    </row>
  </sheetData>
  <autoFilter ref="A1:K21" xr:uid="{00000000-0009-0000-0000-000006000000}"/>
  <conditionalFormatting sqref="F2:F21">
    <cfRule type="expression" dxfId="8" priority="1">
      <formula>F2="Critical"</formula>
    </cfRule>
    <cfRule type="expression" dxfId="7" priority="2">
      <formula>F2="High"</formula>
    </cfRule>
    <cfRule type="expression" dxfId="6" priority="3">
      <formula>F2="Medium"</formula>
    </cfRule>
    <cfRule type="expression" dxfId="5" priority="4">
      <formula>F2="Low"</formula>
    </cfRule>
  </conditionalFormatting>
  <conditionalFormatting sqref="J2:J21">
    <cfRule type="expression" dxfId="4" priority="5">
      <formula>J2="Done"</formula>
    </cfRule>
    <cfRule type="expression" dxfId="3" priority="6">
      <formula>J2="In Progress"</formula>
    </cfRule>
    <cfRule type="expression" dxfId="2" priority="7">
      <formula>J2="Not Started"</formula>
    </cfRule>
    <cfRule type="expression" dxfId="1" priority="8">
      <formula>J2="Blocked"</formula>
    </cfRule>
    <cfRule type="expression" dxfId="0" priority="9">
      <formula>J2="Skipped"</formula>
    </cfRule>
  </conditionalFormatting>
  <dataValidations count="1">
    <dataValidation type="list" allowBlank="1" sqref="J2:J21" xr:uid="{00000000-0002-0000-0600-000000000000}">
      <formula1>"Done,In Progress,Not Started,Blocked,Skipped"</formula1>
    </dataValidation>
  </dataValidations>
  <pageMargins left="0.75" right="0.75" top="1" bottom="1" header="0.5" footer="0.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B47"/>
  <sheetViews>
    <sheetView showGridLines="0" workbookViewId="0">
      <pane xSplit="2" ySplit="5" topLeftCell="C6" activePane="bottomRight" state="frozen"/>
      <selection pane="topRight"/>
      <selection pane="bottomLeft"/>
      <selection pane="bottomRight" sqref="A1:Z1"/>
    </sheetView>
  </sheetViews>
  <sheetFormatPr defaultRowHeight="14.25" x14ac:dyDescent="0.45"/>
  <cols>
    <col min="1" max="1" width="42" customWidth="1"/>
    <col min="2" max="2" width="12" customWidth="1"/>
    <col min="3" max="28" width="5" customWidth="1"/>
  </cols>
  <sheetData>
    <row r="1" spans="1:28" ht="21" x14ac:dyDescent="0.65">
      <c r="A1" s="31" t="s">
        <v>496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8" x14ac:dyDescent="0.45">
      <c r="A2" s="33" t="s">
        <v>497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4" spans="1:28" ht="80" customHeight="1" x14ac:dyDescent="0.45">
      <c r="A4" s="7" t="s">
        <v>498</v>
      </c>
      <c r="B4" s="7" t="s">
        <v>195</v>
      </c>
      <c r="C4" s="8">
        <v>46228</v>
      </c>
      <c r="D4" s="8">
        <v>46229</v>
      </c>
      <c r="E4" s="8">
        <v>46230</v>
      </c>
      <c r="F4" s="8">
        <v>46231</v>
      </c>
      <c r="G4" s="8">
        <v>46232</v>
      </c>
      <c r="H4" s="8">
        <v>46233</v>
      </c>
      <c r="I4" s="8">
        <v>46234</v>
      </c>
      <c r="J4" s="8">
        <v>46235</v>
      </c>
      <c r="K4" s="8">
        <v>46236</v>
      </c>
      <c r="L4" s="8">
        <v>46237</v>
      </c>
      <c r="M4" s="8">
        <v>46238</v>
      </c>
      <c r="N4" s="8">
        <v>46239</v>
      </c>
      <c r="O4" s="8">
        <v>46240</v>
      </c>
      <c r="P4" s="8">
        <v>46241</v>
      </c>
      <c r="Q4" s="8">
        <v>46242</v>
      </c>
      <c r="R4" s="8">
        <v>46243</v>
      </c>
      <c r="S4" s="8">
        <v>46244</v>
      </c>
      <c r="T4" s="8">
        <v>46245</v>
      </c>
      <c r="U4" s="8">
        <v>46246</v>
      </c>
      <c r="V4" s="8">
        <v>46247</v>
      </c>
      <c r="W4" s="8">
        <v>46248</v>
      </c>
      <c r="X4" s="8">
        <v>46249</v>
      </c>
      <c r="Y4" s="8">
        <v>46250</v>
      </c>
      <c r="Z4" s="8">
        <v>46251</v>
      </c>
      <c r="AA4" s="8">
        <v>46252</v>
      </c>
      <c r="AB4" s="8">
        <v>46253</v>
      </c>
    </row>
    <row r="5" spans="1:28" ht="25.05" customHeight="1" x14ac:dyDescent="0.45">
      <c r="A5" s="9" t="s">
        <v>498</v>
      </c>
      <c r="B5" s="9" t="s">
        <v>195</v>
      </c>
      <c r="C5" s="10" t="s">
        <v>499</v>
      </c>
      <c r="D5" s="10" t="s">
        <v>500</v>
      </c>
      <c r="E5" s="10" t="s">
        <v>501</v>
      </c>
      <c r="F5" s="10" t="s">
        <v>502</v>
      </c>
      <c r="G5" s="10" t="s">
        <v>503</v>
      </c>
      <c r="H5" s="10" t="s">
        <v>504</v>
      </c>
      <c r="I5" s="10" t="s">
        <v>505</v>
      </c>
      <c r="J5" s="10" t="s">
        <v>506</v>
      </c>
      <c r="K5" s="10" t="s">
        <v>507</v>
      </c>
      <c r="L5" s="10" t="s">
        <v>508</v>
      </c>
      <c r="M5" s="10" t="s">
        <v>509</v>
      </c>
      <c r="N5" s="10" t="s">
        <v>510</v>
      </c>
      <c r="O5" s="10" t="s">
        <v>511</v>
      </c>
      <c r="P5" s="10" t="s">
        <v>512</v>
      </c>
      <c r="Q5" s="10" t="s">
        <v>513</v>
      </c>
      <c r="R5" s="10" t="s">
        <v>514</v>
      </c>
      <c r="S5" s="10" t="s">
        <v>515</v>
      </c>
      <c r="T5" s="10" t="s">
        <v>516</v>
      </c>
      <c r="U5" s="10" t="s">
        <v>517</v>
      </c>
      <c r="V5" s="10" t="s">
        <v>518</v>
      </c>
      <c r="W5" s="10" t="s">
        <v>519</v>
      </c>
      <c r="X5" s="10" t="s">
        <v>520</v>
      </c>
      <c r="Y5" s="10" t="s">
        <v>521</v>
      </c>
      <c r="Z5" s="10" t="s">
        <v>522</v>
      </c>
      <c r="AA5" s="10" t="s">
        <v>523</v>
      </c>
      <c r="AB5" s="10" t="s">
        <v>524</v>
      </c>
    </row>
    <row r="6" spans="1:28" x14ac:dyDescent="0.45">
      <c r="A6" s="11" t="s">
        <v>525</v>
      </c>
      <c r="B6" s="12" t="s">
        <v>44</v>
      </c>
      <c r="C6" s="13" t="s">
        <v>526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spans="1:28" x14ac:dyDescent="0.45">
      <c r="A7" s="11" t="s">
        <v>527</v>
      </c>
      <c r="B7" s="12" t="s">
        <v>44</v>
      </c>
      <c r="C7" s="13" t="s">
        <v>526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spans="1:28" x14ac:dyDescent="0.45">
      <c r="A8" s="11" t="s">
        <v>528</v>
      </c>
      <c r="B8" s="12" t="s">
        <v>44</v>
      </c>
      <c r="C8" s="13" t="s">
        <v>526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1:28" x14ac:dyDescent="0.45">
      <c r="A9" s="11" t="s">
        <v>529</v>
      </c>
      <c r="B9" s="12" t="s">
        <v>50</v>
      </c>
      <c r="C9" s="14"/>
      <c r="D9" s="14"/>
      <c r="E9" s="15" t="s">
        <v>526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spans="1:28" x14ac:dyDescent="0.45">
      <c r="A10" s="11" t="s">
        <v>530</v>
      </c>
      <c r="B10" s="12" t="s">
        <v>50</v>
      </c>
      <c r="C10" s="14"/>
      <c r="D10" s="14"/>
      <c r="E10" s="15" t="s">
        <v>526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spans="1:28" x14ac:dyDescent="0.45">
      <c r="A11" s="11" t="s">
        <v>531</v>
      </c>
      <c r="B11" s="12" t="s">
        <v>50</v>
      </c>
      <c r="C11" s="14"/>
      <c r="D11" s="14"/>
      <c r="E11" s="15" t="s">
        <v>526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spans="1:28" x14ac:dyDescent="0.45">
      <c r="A12" s="11" t="s">
        <v>532</v>
      </c>
      <c r="B12" s="12" t="s">
        <v>50</v>
      </c>
      <c r="C12" s="14"/>
      <c r="D12" s="14"/>
      <c r="E12" s="15" t="s">
        <v>526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 spans="1:28" x14ac:dyDescent="0.45">
      <c r="A13" s="11" t="s">
        <v>533</v>
      </c>
      <c r="B13" s="12" t="s">
        <v>50</v>
      </c>
      <c r="C13" s="14"/>
      <c r="D13" s="14"/>
      <c r="E13" s="15" t="s">
        <v>526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spans="1:28" x14ac:dyDescent="0.45">
      <c r="A14" s="11" t="s">
        <v>534</v>
      </c>
      <c r="B14" s="12" t="s">
        <v>50</v>
      </c>
      <c r="C14" s="14"/>
      <c r="D14" s="14"/>
      <c r="E14" s="14"/>
      <c r="F14" s="15" t="s">
        <v>526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 spans="1:28" x14ac:dyDescent="0.45">
      <c r="A15" s="11" t="s">
        <v>535</v>
      </c>
      <c r="B15" s="12" t="s">
        <v>50</v>
      </c>
      <c r="C15" s="14"/>
      <c r="D15" s="14"/>
      <c r="E15" s="14"/>
      <c r="F15" s="15" t="s">
        <v>526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spans="1:28" x14ac:dyDescent="0.45">
      <c r="A16" s="11" t="s">
        <v>536</v>
      </c>
      <c r="B16" s="12" t="s">
        <v>50</v>
      </c>
      <c r="C16" s="14"/>
      <c r="D16" s="14"/>
      <c r="E16" s="14"/>
      <c r="F16" s="15" t="s">
        <v>526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spans="1:28" x14ac:dyDescent="0.45">
      <c r="A17" s="11" t="s">
        <v>537</v>
      </c>
      <c r="B17" s="12" t="s">
        <v>53</v>
      </c>
      <c r="C17" s="14"/>
      <c r="D17" s="14"/>
      <c r="E17" s="14"/>
      <c r="F17" s="14"/>
      <c r="G17" s="16" t="s">
        <v>526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 spans="1:28" x14ac:dyDescent="0.45">
      <c r="A18" s="11" t="s">
        <v>538</v>
      </c>
      <c r="B18" s="12" t="s">
        <v>56</v>
      </c>
      <c r="C18" s="14"/>
      <c r="D18" s="14"/>
      <c r="E18" s="14"/>
      <c r="F18" s="14"/>
      <c r="G18" s="14"/>
      <c r="H18" s="17" t="s">
        <v>526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 spans="1:28" x14ac:dyDescent="0.45">
      <c r="A19" s="11" t="s">
        <v>539</v>
      </c>
      <c r="B19" s="12" t="s">
        <v>56</v>
      </c>
      <c r="C19" s="14"/>
      <c r="D19" s="14"/>
      <c r="E19" s="14"/>
      <c r="F19" s="14"/>
      <c r="G19" s="14"/>
      <c r="H19" s="17" t="s">
        <v>526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8" x14ac:dyDescent="0.45">
      <c r="A20" s="11" t="s">
        <v>540</v>
      </c>
      <c r="B20" s="12" t="s">
        <v>56</v>
      </c>
      <c r="C20" s="14"/>
      <c r="D20" s="14"/>
      <c r="E20" s="14"/>
      <c r="F20" s="14"/>
      <c r="G20" s="14"/>
      <c r="H20" s="17" t="s">
        <v>526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 spans="1:28" x14ac:dyDescent="0.45">
      <c r="A21" s="11" t="s">
        <v>541</v>
      </c>
      <c r="B21" s="12" t="s">
        <v>56</v>
      </c>
      <c r="C21" s="14"/>
      <c r="D21" s="14"/>
      <c r="E21" s="14"/>
      <c r="F21" s="14"/>
      <c r="G21" s="14"/>
      <c r="H21" s="14"/>
      <c r="I21" s="17" t="s">
        <v>526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 spans="1:28" x14ac:dyDescent="0.45">
      <c r="A22" s="11" t="s">
        <v>542</v>
      </c>
      <c r="B22" s="12" t="s">
        <v>56</v>
      </c>
      <c r="C22" s="14"/>
      <c r="D22" s="14"/>
      <c r="E22" s="14"/>
      <c r="F22" s="14"/>
      <c r="G22" s="14"/>
      <c r="H22" s="14"/>
      <c r="I22" s="17" t="s">
        <v>526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 spans="1:28" x14ac:dyDescent="0.45">
      <c r="A23" s="11" t="s">
        <v>543</v>
      </c>
      <c r="B23" s="12" t="s">
        <v>59</v>
      </c>
      <c r="C23" s="14"/>
      <c r="D23" s="14"/>
      <c r="E23" s="14"/>
      <c r="F23" s="14"/>
      <c r="G23" s="14"/>
      <c r="H23" s="14"/>
      <c r="I23" s="14"/>
      <c r="J23" s="18" t="s">
        <v>526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 spans="1:28" x14ac:dyDescent="0.45">
      <c r="A24" s="11" t="s">
        <v>544</v>
      </c>
      <c r="B24" s="12" t="s">
        <v>59</v>
      </c>
      <c r="C24" s="14"/>
      <c r="D24" s="14"/>
      <c r="E24" s="14"/>
      <c r="F24" s="14"/>
      <c r="G24" s="14"/>
      <c r="H24" s="14"/>
      <c r="I24" s="14"/>
      <c r="J24" s="18" t="s">
        <v>526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 spans="1:28" x14ac:dyDescent="0.45">
      <c r="A25" s="11" t="s">
        <v>545</v>
      </c>
      <c r="B25" s="12" t="s">
        <v>59</v>
      </c>
      <c r="C25" s="14"/>
      <c r="D25" s="14"/>
      <c r="E25" s="14"/>
      <c r="F25" s="14"/>
      <c r="G25" s="14"/>
      <c r="H25" s="14"/>
      <c r="I25" s="14"/>
      <c r="J25" s="18" t="s">
        <v>526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 spans="1:28" x14ac:dyDescent="0.45">
      <c r="A26" s="11" t="s">
        <v>546</v>
      </c>
      <c r="B26" s="12" t="s">
        <v>59</v>
      </c>
      <c r="C26" s="14"/>
      <c r="D26" s="14"/>
      <c r="E26" s="14"/>
      <c r="F26" s="14"/>
      <c r="G26" s="14"/>
      <c r="H26" s="14"/>
      <c r="I26" s="14"/>
      <c r="J26" s="14"/>
      <c r="K26" s="18" t="s">
        <v>526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 spans="1:28" x14ac:dyDescent="0.45">
      <c r="A27" s="11" t="s">
        <v>547</v>
      </c>
      <c r="B27" s="12" t="s">
        <v>65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9" t="s">
        <v>526</v>
      </c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 spans="1:28" x14ac:dyDescent="0.45">
      <c r="A28" s="11" t="s">
        <v>548</v>
      </c>
      <c r="B28" s="12" t="s">
        <v>65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9" t="s">
        <v>526</v>
      </c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 spans="1:28" x14ac:dyDescent="0.45">
      <c r="A29" s="11" t="s">
        <v>549</v>
      </c>
      <c r="B29" s="12" t="s">
        <v>65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9" t="s">
        <v>526</v>
      </c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 spans="1:28" x14ac:dyDescent="0.45">
      <c r="A30" s="11" t="s">
        <v>550</v>
      </c>
      <c r="B30" s="12" t="s">
        <v>65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9" t="s">
        <v>526</v>
      </c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 spans="1:28" x14ac:dyDescent="0.45">
      <c r="A31" s="11" t="s">
        <v>551</v>
      </c>
      <c r="B31" s="12" t="s">
        <v>68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20" t="s">
        <v>526</v>
      </c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 spans="1:28" x14ac:dyDescent="0.45">
      <c r="A32" s="11" t="s">
        <v>552</v>
      </c>
      <c r="B32" s="12" t="s">
        <v>68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20" t="s">
        <v>526</v>
      </c>
      <c r="AB32" s="14"/>
    </row>
    <row r="33" spans="1:28" x14ac:dyDescent="0.45">
      <c r="A33" s="11" t="s">
        <v>553</v>
      </c>
      <c r="B33" s="12" t="s">
        <v>68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20" t="s">
        <v>526</v>
      </c>
    </row>
    <row r="34" spans="1:28" x14ac:dyDescent="0.45">
      <c r="A34" s="11" t="s">
        <v>554</v>
      </c>
      <c r="B34" s="12" t="s">
        <v>44</v>
      </c>
      <c r="C34" s="13" t="s">
        <v>526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 spans="1:28" x14ac:dyDescent="0.45">
      <c r="A35" s="11" t="s">
        <v>555</v>
      </c>
      <c r="B35" s="12" t="s">
        <v>50</v>
      </c>
      <c r="C35" s="14"/>
      <c r="D35" s="14"/>
      <c r="E35" s="15" t="s">
        <v>526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 spans="1:28" x14ac:dyDescent="0.45">
      <c r="A36" s="11" t="s">
        <v>556</v>
      </c>
      <c r="B36" s="12" t="s">
        <v>59</v>
      </c>
      <c r="C36" s="14"/>
      <c r="D36" s="14"/>
      <c r="E36" s="14"/>
      <c r="F36" s="14"/>
      <c r="G36" s="14"/>
      <c r="H36" s="14"/>
      <c r="I36" s="14"/>
      <c r="J36" s="14"/>
      <c r="K36" s="18" t="s">
        <v>526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 spans="1:28" x14ac:dyDescent="0.45">
      <c r="A37" s="11" t="s">
        <v>557</v>
      </c>
      <c r="B37" s="12" t="s">
        <v>59</v>
      </c>
      <c r="C37" s="14"/>
      <c r="D37" s="14"/>
      <c r="E37" s="14"/>
      <c r="F37" s="14"/>
      <c r="G37" s="14"/>
      <c r="H37" s="14"/>
      <c r="I37" s="14"/>
      <c r="J37" s="14"/>
      <c r="K37" s="14"/>
      <c r="L37" s="18" t="s">
        <v>526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 spans="1:28" x14ac:dyDescent="0.45">
      <c r="A38" s="11" t="s">
        <v>558</v>
      </c>
      <c r="B38" s="12" t="s">
        <v>62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1" t="s">
        <v>526</v>
      </c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 spans="1:28" x14ac:dyDescent="0.45">
      <c r="A39" s="11" t="s">
        <v>559</v>
      </c>
      <c r="B39" s="12" t="s">
        <v>62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21" t="s">
        <v>526</v>
      </c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 spans="1:28" x14ac:dyDescent="0.45">
      <c r="A40" s="11" t="s">
        <v>560</v>
      </c>
      <c r="B40" s="12" t="s">
        <v>62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21" t="s">
        <v>526</v>
      </c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 spans="1:28" x14ac:dyDescent="0.45">
      <c r="A41" s="11" t="s">
        <v>561</v>
      </c>
      <c r="B41" s="12" t="s">
        <v>62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21" t="s">
        <v>526</v>
      </c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 spans="1:28" x14ac:dyDescent="0.45">
      <c r="A42" s="11" t="s">
        <v>562</v>
      </c>
      <c r="B42" s="12" t="s">
        <v>65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9" t="s">
        <v>526</v>
      </c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 spans="1:28" x14ac:dyDescent="0.45">
      <c r="A43" s="11" t="s">
        <v>563</v>
      </c>
      <c r="B43" s="12" t="s">
        <v>68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20" t="s">
        <v>526</v>
      </c>
      <c r="T43" s="14"/>
      <c r="U43" s="14"/>
      <c r="V43" s="14"/>
      <c r="W43" s="14"/>
      <c r="X43" s="14"/>
      <c r="Y43" s="14"/>
      <c r="Z43" s="14"/>
      <c r="AA43" s="14"/>
      <c r="AB43" s="14"/>
    </row>
    <row r="44" spans="1:28" x14ac:dyDescent="0.45">
      <c r="A44" s="11" t="s">
        <v>564</v>
      </c>
      <c r="B44" s="12" t="s">
        <v>68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20" t="s">
        <v>526</v>
      </c>
      <c r="Y44" s="14"/>
      <c r="Z44" s="14"/>
      <c r="AA44" s="14"/>
      <c r="AB44" s="14"/>
    </row>
    <row r="45" spans="1:28" ht="99.75" x14ac:dyDescent="0.45">
      <c r="A45" s="22" t="s">
        <v>565</v>
      </c>
      <c r="B45" s="23" t="s">
        <v>566</v>
      </c>
      <c r="C45" s="24" t="s">
        <v>567</v>
      </c>
      <c r="D45" s="25" t="s">
        <v>568</v>
      </c>
      <c r="E45" s="26" t="s">
        <v>569</v>
      </c>
      <c r="F45" s="27" t="s">
        <v>570</v>
      </c>
      <c r="G45" s="28" t="s">
        <v>571</v>
      </c>
      <c r="H45" s="29" t="s">
        <v>572</v>
      </c>
      <c r="I45" s="30" t="s">
        <v>573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20" t="s">
        <v>526</v>
      </c>
      <c r="AB45" s="14"/>
    </row>
    <row r="46" spans="1:28" x14ac:dyDescent="0.45">
      <c r="A46" s="11" t="s">
        <v>574</v>
      </c>
      <c r="B46" s="12" t="s">
        <v>62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21" t="s">
        <v>526</v>
      </c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 spans="1:28" x14ac:dyDescent="0.45">
      <c r="A47" s="11" t="s">
        <v>575</v>
      </c>
      <c r="B47" s="12" t="s">
        <v>68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20" t="s">
        <v>526</v>
      </c>
      <c r="V47" s="14"/>
      <c r="W47" s="14"/>
      <c r="X47" s="14"/>
      <c r="Y47" s="14"/>
      <c r="Z47" s="14"/>
      <c r="AA47" s="14"/>
      <c r="AB47" s="14"/>
    </row>
  </sheetData>
  <mergeCells count="2">
    <mergeCell ref="A1:Z1"/>
    <mergeCell ref="A2:Z2"/>
  </mergeCell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Project Info</vt:lpstr>
      <vt:lpstr>Milestones</vt:lpstr>
      <vt:lpstr>Requirements</vt:lpstr>
      <vt:lpstr>WBS Checklist</vt:lpstr>
      <vt:lpstr>Daily Checklist</vt:lpstr>
      <vt:lpstr>Risk Register</vt:lpstr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 dat</cp:lastModifiedBy>
  <dcterms:created xsi:type="dcterms:W3CDTF">2026-07-25T07:52:42Z</dcterms:created>
  <dcterms:modified xsi:type="dcterms:W3CDTF">2026-07-25T07:57:05Z</dcterms:modified>
</cp:coreProperties>
</file>