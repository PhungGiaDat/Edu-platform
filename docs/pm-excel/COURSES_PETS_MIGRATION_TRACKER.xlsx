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ject Info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equirements" sheetId="4" state="visible" r:id="rId4"/>
    <sheet xmlns:r="http://schemas.openxmlformats.org/officeDocument/2006/relationships" name="WBS Checklist" sheetId="5" state="visible" r:id="rId5"/>
    <sheet xmlns:r="http://schemas.openxmlformats.org/officeDocument/2006/relationships" name="Daily Checklist" sheetId="6" state="visible" r:id="rId6"/>
    <sheet xmlns:r="http://schemas.openxmlformats.org/officeDocument/2006/relationships" name="Risk Register" sheetId="7" state="visible" r:id="rId7"/>
    <sheet xmlns:r="http://schemas.openxmlformats.org/officeDocument/2006/relationships" name="Gantt Chart" sheetId="8" state="visible" r:id="rId8"/>
  </sheets>
  <definedNames>
    <definedName name="_xlnm._FilterDatabase" localSheetId="0" hidden="1">'Dashboard'!$A$3:$D$16</definedName>
    <definedName name="_xlnm.Print_Titles" localSheetId="0">'Dashboard'!$1:$1</definedName>
    <definedName name="_xlnm._FilterDatabase" localSheetId="1" hidden="1">'Project Info'!$A$1:$B$16</definedName>
    <definedName name="_xlnm.Print_Titles" localSheetId="1">'Project Info'!$1:$1</definedName>
    <definedName name="_xlnm._FilterDatabase" localSheetId="2" hidden="1">'Milestones'!$A$1:$J$11</definedName>
    <definedName name="_xlnm.Print_Titles" localSheetId="2">'Milestones'!$1:$1</definedName>
    <definedName name="_xlnm._FilterDatabase" localSheetId="3" hidden="1">'Requirements'!$A$1:$J$37</definedName>
    <definedName name="_xlnm.Print_Titles" localSheetId="3">'Requirements'!$1:$1</definedName>
    <definedName name="_xlnm._FilterDatabase" localSheetId="4" hidden="1">'WBS Checklist'!$A$1:$M$12</definedName>
    <definedName name="_xlnm.Print_Titles" localSheetId="4">'WBS Checklist'!$1:$1</definedName>
    <definedName name="_xlnm._FilterDatabase" localSheetId="5" hidden="1">'Daily Checklist'!$A$1:$K$21</definedName>
    <definedName name="_xlnm.Print_Titles" localSheetId="5">'Daily Checklist'!$1:$1</definedName>
    <definedName name="_xlnm._FilterDatabase" localSheetId="6" hidden="1">'Risk Register'!$A$1:$K$16</definedName>
    <definedName name="_xlnm.Print_Titles" localSheetId="6">'Risk Register'!$1:$1</definedName>
    <definedName name="_xlnm._FilterDatabase" localSheetId="7" hidden="1">'Gantt Chart'!$A$4:$V$16</definedName>
    <definedName name="_xlnm.Print_Titles" localSheetId="7">'Gantt Chart'!$1:$5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color rgb="0022313F"/>
      <sz val="10"/>
    </font>
    <font>
      <b val="1"/>
      <color rgb="00FFFFFF"/>
    </font>
    <font>
      <b val="1"/>
      <color rgb="0019324D"/>
    </font>
  </fonts>
  <fills count="12">
    <fill>
      <patternFill/>
    </fill>
    <fill>
      <patternFill patternType="gray125"/>
    </fill>
    <fill>
      <patternFill patternType="solid">
        <fgColor rgb="0019324D"/>
      </patternFill>
    </fill>
    <fill>
      <patternFill patternType="solid">
        <fgColor rgb="00FAFBFC"/>
      </patternFill>
    </fill>
    <fill>
      <patternFill patternType="solid">
        <fgColor rgb="002F80ED"/>
      </patternFill>
    </fill>
    <fill>
      <patternFill patternType="solid">
        <fgColor rgb="002AA198"/>
      </patternFill>
    </fill>
    <fill>
      <patternFill patternType="solid">
        <fgColor rgb="008E6BBE"/>
      </patternFill>
    </fill>
    <fill>
      <patternFill patternType="solid">
        <fgColor rgb="00F2994A"/>
      </patternFill>
    </fill>
    <fill>
      <patternFill patternType="solid">
        <fgColor rgb="0027AE60"/>
      </patternFill>
    </fill>
    <fill>
      <patternFill patternType="solid">
        <fgColor rgb="00EAF3FF"/>
      </patternFill>
    </fill>
    <fill>
      <patternFill patternType="solid">
        <fgColor rgb="00F2C94C"/>
      </patternFill>
    </fill>
    <fill>
      <patternFill patternType="solid">
        <fgColor rgb="00EB575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9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9" borderId="0" applyAlignment="1" pivotButton="0" quotePrefix="0" xfId="0">
      <alignment horizontal="center"/>
    </xf>
    <xf numFmtId="165" fontId="2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2" borderId="0" applyAlignment="1" pivotButton="0" quotePrefix="0" xfId="0">
      <alignment horizontal="left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</cellXfs>
  <cellStyles count="1">
    <cellStyle name="Normal" xfId="0" builtinId="0" hidden="0"/>
  </cellStyles>
  <dxfs count="9">
    <dxf>
      <fill>
        <patternFill patternType="solid">
          <fgColor rgb="00EAF8EF"/>
        </patternFill>
      </fill>
    </dxf>
    <dxf>
      <fill>
        <patternFill patternType="solid">
          <fgColor rgb="00FDECEC"/>
        </patternFill>
      </fill>
    </dxf>
    <dxf>
      <fill>
        <patternFill patternType="solid">
          <fgColor rgb="00EAF3FF"/>
        </patternFill>
      </fill>
    </dxf>
    <dxf>
      <fill>
        <patternFill patternType="solid">
          <fgColor rgb="00F5F7FA"/>
        </patternFill>
      </fill>
    </dxf>
    <dxf>
      <fill>
        <patternFill patternType="solid">
          <fgColor rgb="00FFF8DD"/>
        </patternFill>
      </fill>
    </dxf>
    <dxf>
      <font>
        <b val="1"/>
        <color rgb="00FFFFFF"/>
      </font>
      <fill>
        <patternFill patternType="solid">
          <fgColor rgb="00EB5757"/>
        </patternFill>
      </fill>
    </dxf>
    <dxf>
      <font>
        <b val="1"/>
        <color rgb="00FFFFFF"/>
      </font>
      <fill>
        <patternFill patternType="solid">
          <fgColor rgb="00F2994A"/>
        </patternFill>
      </fill>
    </dxf>
    <dxf>
      <font>
        <b val="1"/>
        <color rgb="0022313F"/>
      </font>
      <fill>
        <patternFill patternType="solid">
          <fgColor rgb="00F2C94C"/>
        </patternFill>
      </fill>
    </dxf>
    <dxf>
      <font>
        <b val="1"/>
        <color rgb="00FFFFFF"/>
      </font>
      <fill>
        <patternFill patternType="solid">
          <fgColor rgb="0027AE6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Status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'Dashboard'!$A$5:$A$6</f>
            </numRef>
          </cat>
          <val>
            <numRef>
              <f>'Dashboard'!$B$5:$B$6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3600000" cy="187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F80ED"/>
    <outlinePr summaryBelow="1" summaryRight="1"/>
    <pageSetUpPr fitToPage="1"/>
  </sheetPr>
  <dimension ref="A1:D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52" customWidth="1" min="4" max="4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Courses + Pets RN Migration — Dashboard</t>
        </is>
      </c>
    </row>
    <row r="3" ht="30" customHeight="1">
      <c r="A3" s="2" t="inlineStr">
        <is>
          <t>Metric</t>
        </is>
      </c>
      <c r="B3" s="2" t="inlineStr">
        <is>
          <t>Value</t>
        </is>
      </c>
      <c r="C3" s="2" t="inlineStr">
        <is>
          <t>Target / Meaning</t>
        </is>
      </c>
      <c r="D3" s="2" t="inlineStr">
        <is>
          <t>Notes</t>
        </is>
      </c>
    </row>
    <row r="4">
      <c r="A4" s="3" t="inlineStr">
        <is>
          <t>Total WBS tasks</t>
        </is>
      </c>
      <c r="B4" s="3">
        <f>COUNTA('WBS Checklist'!A2:A12)</f>
        <v/>
      </c>
      <c r="C4" s="3" t="inlineStr">
        <is>
          <t>11 work packages</t>
        </is>
      </c>
      <c r="D4" s="3" t="inlineStr">
        <is>
          <t>Tasks 1.0 through 11.0</t>
        </is>
      </c>
    </row>
    <row r="5">
      <c r="A5" s="4" t="inlineStr">
        <is>
          <t>Tasks done</t>
        </is>
      </c>
      <c r="B5" s="4">
        <f>COUNTIF('WBS Checklist'!I2:I12,TRUE)</f>
        <v/>
      </c>
      <c r="C5" s="4" t="inlineStr">
        <is>
          <t>11</t>
        </is>
      </c>
      <c r="D5" s="4" t="inlineStr">
        <is>
          <t>Set Done with dropdown</t>
        </is>
      </c>
    </row>
    <row r="6">
      <c r="A6" s="3" t="inlineStr">
        <is>
          <t>Tasks remaining</t>
        </is>
      </c>
      <c r="B6" s="3">
        <f>B4-B5</f>
        <v/>
      </c>
      <c r="C6" s="3" t="inlineStr">
        <is>
          <t>0 at M9</t>
        </is>
      </c>
      <c r="D6" s="3" t="inlineStr">
        <is>
          <t>Calculated</t>
        </is>
      </c>
    </row>
    <row r="7">
      <c r="A7" s="4" t="inlineStr">
        <is>
          <t>Overall completion</t>
        </is>
      </c>
      <c r="B7" s="5">
        <f>IFERROR(B5/B4,0)</f>
        <v/>
      </c>
      <c r="C7" s="4" t="inlineStr">
        <is>
          <t>100%</t>
        </is>
      </c>
      <c r="D7" s="4" t="inlineStr">
        <is>
          <t>Task-count based</t>
        </is>
      </c>
    </row>
    <row r="8">
      <c r="A8" s="3" t="inlineStr">
        <is>
          <t>Requirements</t>
        </is>
      </c>
      <c r="B8" s="3">
        <f>COUNTA(Requirements!A2:A38)</f>
        <v/>
      </c>
      <c r="C8" s="3" t="inlineStr">
        <is>
          <t>36</t>
        </is>
      </c>
      <c r="D8" s="3" t="inlineStr">
        <is>
          <t>Courses, pets, platform, and gates</t>
        </is>
      </c>
    </row>
    <row r="9">
      <c r="A9" s="4" t="inlineStr">
        <is>
          <t>Critical requirements</t>
        </is>
      </c>
      <c r="B9" s="4">
        <f>COUNTIF(Requirements!D2:D38,"Critical")</f>
        <v/>
      </c>
      <c r="C9" s="4" t="inlineStr">
        <is>
          <t>All verified</t>
        </is>
      </c>
      <c r="D9" s="4" t="inlineStr">
        <is>
          <t>No open critical requirement at M9</t>
        </is>
      </c>
    </row>
    <row r="10">
      <c r="A10" s="3" t="inlineStr">
        <is>
          <t>Milestones signed off</t>
        </is>
      </c>
      <c r="B10" s="3">
        <f>COUNTIF(Milestones!I2:I11,TRUE)</f>
        <v/>
      </c>
      <c r="C10" s="3" t="inlineStr">
        <is>
          <t>10</t>
        </is>
      </c>
      <c r="D10" s="3" t="inlineStr">
        <is>
          <t>M0-M9</t>
        </is>
      </c>
    </row>
    <row r="11">
      <c r="A11" s="4" t="inlineStr">
        <is>
          <t>Open/active risks</t>
        </is>
      </c>
      <c r="B11" s="4">
        <f>COUNTIF('Risk Register'!J2:J16,"Open")+COUNTIF('Risk Register'!J2:J16,"In Progress")</f>
        <v/>
      </c>
      <c r="C11" s="4" t="inlineStr">
        <is>
          <t>0</t>
        </is>
      </c>
      <c r="D11" s="4" t="inlineStr">
        <is>
          <t>Escalate Critical/High</t>
        </is>
      </c>
    </row>
    <row r="12">
      <c r="A12" s="3" t="inlineStr">
        <is>
          <t>Sprint start</t>
        </is>
      </c>
      <c r="B12" s="6">
        <f>'Project Info'!B4</f>
        <v/>
      </c>
      <c r="C12" s="3" t="inlineStr">
        <is>
          <t>2026-07-25</t>
        </is>
      </c>
      <c r="D12" s="3" t="inlineStr">
        <is>
          <t>Day 1</t>
        </is>
      </c>
    </row>
    <row r="13">
      <c r="A13" s="4" t="inlineStr">
        <is>
          <t>Target completion</t>
        </is>
      </c>
      <c r="B13" s="7">
        <f>'Project Info'!B5</f>
        <v/>
      </c>
      <c r="C13" s="4" t="inlineStr">
        <is>
          <t>2026-08-20</t>
        </is>
      </c>
      <c r="D13" s="4" t="inlineStr">
        <is>
          <t>Day 20</t>
        </is>
      </c>
    </row>
    <row r="14">
      <c r="A14" s="3" t="inlineStr">
        <is>
          <t>Working days remaining</t>
        </is>
      </c>
      <c r="B14" s="3">
        <f>MAX(0,NETWORKDAYS.INTL(MAX(TODAY(),'Project Info'!B4),'Project Info'!B5,1)+IF(TODAY()&lt;='Project Info'!B4,1,0))</f>
        <v/>
      </c>
      <c r="C14" s="3" t="inlineStr">
        <is>
          <t>0 at target</t>
        </is>
      </c>
      <c r="D14" s="3" t="inlineStr">
        <is>
          <t>Schedule starts on Saturday, then weekdays</t>
        </is>
      </c>
    </row>
    <row r="15">
      <c r="A15" s="4" t="inlineStr">
        <is>
          <t>Scope guardrail</t>
        </is>
      </c>
      <c r="B15" s="4" t="inlineStr">
        <is>
          <t>iOS only</t>
        </is>
      </c>
      <c r="C15" s="4" t="inlineStr">
        <is>
          <t>NO Unity/AR core</t>
        </is>
      </c>
      <c r="D15" s="4" t="inlineStr">
        <is>
          <t>Android and Unity/AR work excluded</t>
        </is>
      </c>
    </row>
    <row r="16">
      <c r="A16" s="3" t="inlineStr">
        <is>
          <t>Current phase gate</t>
        </is>
      </c>
      <c r="B16" s="3" t="inlineStr">
        <is>
          <t>M3 → M7 → M8</t>
        </is>
      </c>
      <c r="C16" s="3" t="inlineStr">
        <is>
          <t>Sign-off required</t>
        </is>
      </c>
      <c r="D16" s="3" t="inlineStr">
        <is>
          <t>Screens wait for M3; polish waits for M7; release waits for M8</t>
        </is>
      </c>
    </row>
  </sheetData>
  <autoFilter ref="A3:D16"/>
  <mergeCells count="1">
    <mergeCell ref="A1:D1"/>
  </mergeCells>
  <pageMargins left="0.75" right="0.75" top="1" bottom="1" header="0.5" footer="0.5"/>
  <pageSetup orientation="portrait" fitToHeight="0" fitToWidth="1"/>
  <headerFooter>
    <oddHeader/>
    <oddFooter>&amp;CCourses + Pets RN Migration | Internal Planning&amp;RPage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9324D"/>
    <outlinePr summaryBelow="1" summaryRight="1"/>
    <pageSetUpPr fitToPage="1"/>
  </sheetPr>
  <dimension ref="A1:B1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 ht="30" customHeight="1">
      <c r="A1" s="2" t="inlineStr">
        <is>
          <t>Project Metadata</t>
        </is>
      </c>
      <c r="B1" s="2" t="inlineStr">
        <is>
          <t>Value</t>
        </is>
      </c>
    </row>
    <row r="2">
      <c r="A2" s="3" t="inlineStr">
        <is>
          <t>Project Name</t>
        </is>
      </c>
      <c r="B2" s="3" t="inlineStr">
        <is>
          <t>Courses + Pets React Native Migration</t>
        </is>
      </c>
    </row>
    <row r="3">
      <c r="A3" s="4" t="inlineStr">
        <is>
          <t>Project ID</t>
        </is>
      </c>
      <c r="B3" s="4" t="inlineStr">
        <is>
          <t>RN-CP-2026-001</t>
        </is>
      </c>
    </row>
    <row r="4">
      <c r="A4" s="3" t="inlineStr">
        <is>
          <t>Start Date</t>
        </is>
      </c>
      <c r="B4" s="6" t="n">
        <v>46228</v>
      </c>
    </row>
    <row r="5">
      <c r="A5" s="4" t="inlineStr">
        <is>
          <t>Target Completion</t>
        </is>
      </c>
      <c r="B5" s="7" t="n">
        <v>46254</v>
      </c>
    </row>
    <row r="6">
      <c r="A6" s="3" t="inlineStr">
        <is>
          <t>Total Working Days</t>
        </is>
      </c>
      <c r="B6" s="3" t="n">
        <v>20</v>
      </c>
    </row>
    <row r="7">
      <c r="A7" s="4" t="inlineStr">
        <is>
          <t>Target Platform</t>
        </is>
      </c>
      <c r="B7" s="4" t="inlineStr">
        <is>
          <t>iOS only</t>
        </is>
      </c>
    </row>
    <row r="8">
      <c r="A8" s="3" t="inlineStr">
        <is>
          <t>Source</t>
        </is>
      </c>
      <c r="B8" s="3" t="inlineStr">
        <is>
          <t>frontend-web courses, lessons, pets, auth, i18n, and gamification</t>
        </is>
      </c>
    </row>
    <row r="9">
      <c r="A9" s="4" t="inlineStr">
        <is>
          <t>Target</t>
        </is>
      </c>
      <c r="B9" s="4" t="inlineStr">
        <is>
          <t>mobile/rn (Expo SDK 57 / React Native)</t>
        </is>
      </c>
    </row>
    <row r="10" ht="42" customHeight="1">
      <c r="A10" s="3" t="inlineStr">
        <is>
          <t>Core Scope</t>
        </is>
      </c>
      <c r="B10" s="3" t="inlineStr">
        <is>
          <t>Courses + course detail + non-AR lesson player + pets + gamification + navigation</t>
        </is>
      </c>
    </row>
    <row r="11" ht="42" customHeight="1">
      <c r="A11" s="4" t="inlineStr">
        <is>
          <t>Explicit Exclusion</t>
        </is>
      </c>
      <c r="B11" s="4" t="inlineStr">
        <is>
          <t>NO Unity/AR core changes; NO Android-specific work; dormant AR files remain untouched</t>
        </is>
      </c>
    </row>
    <row r="12" ht="42" customHeight="1">
      <c r="A12" s="3" t="inlineStr">
        <is>
          <t>Required Gates</t>
        </is>
      </c>
      <c r="B12" s="3" t="inlineStr">
        <is>
          <t>M3 foundation approval → M7 integration review → M8 iOS smoke sign-off → M9 release ready</t>
        </is>
      </c>
    </row>
    <row r="13">
      <c r="A13" s="4" t="inlineStr">
        <is>
          <t>API Configuration</t>
        </is>
      </c>
      <c r="B13" s="4" t="inlineStr">
        <is>
          <t>EXPO_PUBLIC_API_URL only; bearer authentication; no hardcoded production URL</t>
        </is>
      </c>
    </row>
    <row r="14">
      <c r="A14" s="3" t="inlineStr">
        <is>
          <t>Status</t>
        </is>
      </c>
      <c r="B14" s="3" t="inlineStr">
        <is>
          <t>Active</t>
        </is>
      </c>
    </row>
    <row r="15">
      <c r="A15" s="4" t="inlineStr">
        <is>
          <t>Owner</t>
        </is>
      </c>
      <c r="B15" s="4" t="inlineStr">
        <is>
          <t>Edu-platform mobile team</t>
        </is>
      </c>
    </row>
    <row r="16">
      <c r="A16" s="3" t="inlineStr">
        <is>
          <t>Schedule Convention</t>
        </is>
      </c>
      <c r="B16" s="3" t="inlineStr">
        <is>
          <t>Day 1 is 2026-07-25; remaining working days are Monday-Friday</t>
        </is>
      </c>
    </row>
  </sheetData>
  <autoFilter ref="A1:B16"/>
  <pageMargins left="0.75" right="0.75" top="1" bottom="1" header="0.5" footer="0.5"/>
  <pageSetup orientation="portrait" fitToHeight="0" fitToWidth="1"/>
  <headerFooter>
    <oddHeader/>
    <oddFooter>&amp;CCourses + Pets RN Migration | Internal Planning&amp;RPage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AA198"/>
    <outlinePr summaryBelow="1" summaryRight="1"/>
    <pageSetUpPr fitToPage="1"/>
  </sheetPr>
  <dimension ref="A1:K1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4" customWidth="1" min="3" max="3"/>
    <col width="10" customWidth="1" min="4" max="4"/>
    <col width="14" customWidth="1" min="5" max="5"/>
    <col width="16" customWidth="1" min="6" max="6"/>
    <col width="17" customWidth="1" min="7" max="7"/>
    <col width="13" customWidth="1" min="8" max="8"/>
    <col width="12" customWidth="1" min="9" max="9"/>
    <col width="72" customWidth="1" min="10" max="10"/>
  </cols>
  <sheetData>
    <row r="1" ht="30" customHeight="1">
      <c r="A1" s="2" t="inlineStr">
        <is>
          <t>Milestone_ID</t>
        </is>
      </c>
      <c r="B1" s="2" t="inlineStr">
        <is>
          <t>Milestone_Name</t>
        </is>
      </c>
      <c r="C1" s="2" t="inlineStr">
        <is>
          <t>Target_Date</t>
        </is>
      </c>
      <c r="D1" s="2" t="inlineStr">
        <is>
          <t>Done</t>
        </is>
      </c>
      <c r="E1" s="2" t="inlineStr">
        <is>
          <t>%_Complete</t>
        </is>
      </c>
      <c r="F1" s="2" t="inlineStr">
        <is>
          <t>Status</t>
        </is>
      </c>
      <c r="G1" s="2" t="inlineStr">
        <is>
          <t>Dependencies</t>
        </is>
      </c>
      <c r="H1" s="2" t="inlineStr">
        <is>
          <t>Risk_Level</t>
        </is>
      </c>
      <c r="I1" s="2" t="inlineStr">
        <is>
          <t>Sign_Off</t>
        </is>
      </c>
      <c r="J1" s="2" t="inlineStr">
        <is>
          <t>Gate / Acceptance Notes</t>
        </is>
      </c>
    </row>
    <row r="2" ht="42" customHeight="1">
      <c r="A2" s="3" t="inlineStr">
        <is>
          <t>M0</t>
        </is>
      </c>
      <c r="B2" s="3" t="inlineStr">
        <is>
          <t>Scope &amp; Baseline Locked</t>
        </is>
      </c>
      <c r="C2" s="6" t="n">
        <v>46228</v>
      </c>
      <c r="D2" s="3" t="b">
        <v>1</v>
      </c>
      <c r="E2" s="8" t="n">
        <v>100</v>
      </c>
      <c r="F2" s="3" t="inlineStr">
        <is>
          <t>Completed</t>
        </is>
      </c>
      <c r="G2" s="3" t="inlineStr">
        <is>
          <t>None</t>
        </is>
      </c>
      <c r="H2" s="3" t="inlineStr">
        <is>
          <t>Green</t>
        </is>
      </c>
      <c r="I2" s="3" t="b">
        <v>0</v>
      </c>
      <c r="J2" s="3" t="b">
        <v>1</v>
      </c>
      <c r="K2" t="inlineStr">
        <is>
          <t>Scope confirms courses + pets only; Unity/AR core and Android excluded. U-1..U-10 captured 2026-07-26 (see docs/migration/m0-user-inputs.md). U-1: https://edu-platform-api-do20.onrender.com. U-7: Mac Day Aug 9.</t>
        </is>
      </c>
    </row>
    <row r="3" ht="42" customHeight="1">
      <c r="A3" s="4" t="inlineStr">
        <is>
          <t>M1</t>
        </is>
      </c>
      <c r="B3" s="4" t="inlineStr">
        <is>
          <t>Auth &amp; App State Ready</t>
        </is>
      </c>
      <c r="C3" s="7" t="n">
        <v>46230</v>
      </c>
      <c r="D3" s="4" t="b">
        <v>0</v>
      </c>
      <c r="E3" s="5" t="n">
        <v>0</v>
      </c>
      <c r="F3" s="4" t="inlineStr">
        <is>
          <t>Not Started</t>
        </is>
      </c>
      <c r="G3" s="4" t="inlineStr">
        <is>
          <t>M0</t>
        </is>
      </c>
      <c r="H3" s="4" t="inlineStr">
        <is>
          <t>Amber</t>
        </is>
      </c>
      <c r="I3" s="4" t="b">
        <v>0</v>
      </c>
      <c r="J3" s="4" t="inlineStr">
        <is>
          <t>Gate: authenticated app shell restores and clears sessions safely.</t>
        </is>
      </c>
    </row>
    <row r="4" ht="42" customHeight="1">
      <c r="A4" s="3" t="inlineStr">
        <is>
          <t>M2</t>
        </is>
      </c>
      <c r="B4" s="3" t="inlineStr">
        <is>
          <t>Design System &amp; i18n Ready</t>
        </is>
      </c>
      <c r="C4" s="6" t="n">
        <v>46232</v>
      </c>
      <c r="D4" s="3" t="b">
        <v>0</v>
      </c>
      <c r="E4" s="8" t="n">
        <v>0</v>
      </c>
      <c r="F4" s="3" t="inlineStr">
        <is>
          <t>Not Started</t>
        </is>
      </c>
      <c r="G4" s="3" t="inlineStr">
        <is>
          <t>M1</t>
        </is>
      </c>
      <c r="H4" s="3" t="inlineStr">
        <is>
          <t>Green</t>
        </is>
      </c>
      <c r="I4" s="3" t="b">
        <v>0</v>
      </c>
      <c r="J4" s="3" t="inlineStr">
        <is>
          <t>Gate: reusable clay tokens and en/vi catalogs approved.</t>
        </is>
      </c>
    </row>
    <row r="5" ht="42" customHeight="1">
      <c r="A5" s="4" t="inlineStr">
        <is>
          <t>M3</t>
        </is>
      </c>
      <c r="B5" s="4" t="inlineStr">
        <is>
          <t>Foundation Phase Gate</t>
        </is>
      </c>
      <c r="C5" s="7" t="n">
        <v>46234</v>
      </c>
      <c r="D5" s="4" t="b">
        <v>0</v>
      </c>
      <c r="E5" s="5" t="n">
        <v>0</v>
      </c>
      <c r="F5" s="4" t="inlineStr">
        <is>
          <t>Not Started</t>
        </is>
      </c>
      <c r="G5" s="4" t="inlineStr">
        <is>
          <t>M1,M2</t>
        </is>
      </c>
      <c r="H5" s="4" t="inlineStr">
        <is>
          <t>Amber</t>
        </is>
      </c>
      <c r="I5" s="4" t="b">
        <v>0</v>
      </c>
      <c r="J5" s="4" t="inlineStr">
        <is>
          <t>Mandatory sign-off on API contracts, types, services, hooks, and backend audit before screens.</t>
        </is>
      </c>
    </row>
    <row r="6" ht="42" customHeight="1">
      <c r="A6" s="3" t="inlineStr">
        <is>
          <t>M4</t>
        </is>
      </c>
      <c r="B6" s="3" t="inlineStr">
        <is>
          <t>Course Catalog Ready</t>
        </is>
      </c>
      <c r="C6" s="6" t="n">
        <v>46239</v>
      </c>
      <c r="D6" s="3" t="b">
        <v>0</v>
      </c>
      <c r="E6" s="8" t="n">
        <v>0</v>
      </c>
      <c r="F6" s="3" t="inlineStr">
        <is>
          <t>Not Started</t>
        </is>
      </c>
      <c r="G6" s="3" t="inlineStr">
        <is>
          <t>M3</t>
        </is>
      </c>
      <c r="H6" s="3" t="inlineStr">
        <is>
          <t>Green</t>
        </is>
      </c>
      <c r="I6" s="3" t="b">
        <v>0</v>
      </c>
      <c r="J6" s="3" t="inlineStr">
        <is>
          <t>Course list acceptance criteria pass.</t>
        </is>
      </c>
    </row>
    <row r="7" ht="42" customHeight="1">
      <c r="A7" s="4" t="inlineStr">
        <is>
          <t>M5</t>
        </is>
      </c>
      <c r="B7" s="4" t="inlineStr">
        <is>
          <t>Course Learning Flow Ready</t>
        </is>
      </c>
      <c r="C7" s="7" t="n">
        <v>46245</v>
      </c>
      <c r="D7" s="4" t="b">
        <v>0</v>
      </c>
      <c r="E7" s="5" t="n">
        <v>0</v>
      </c>
      <c r="F7" s="4" t="inlineStr">
        <is>
          <t>Not Started</t>
        </is>
      </c>
      <c r="G7" s="4" t="inlineStr">
        <is>
          <t>M4</t>
        </is>
      </c>
      <c r="H7" s="4" t="inlineStr">
        <is>
          <t>Amber</t>
        </is>
      </c>
      <c r="I7" s="4" t="b">
        <v>0</v>
      </c>
      <c r="J7" s="4" t="inlineStr">
        <is>
          <t>Course detail and non-AR lesson player pass; AR references degrade safely.</t>
        </is>
      </c>
    </row>
    <row r="8" ht="42" customHeight="1">
      <c r="A8" s="3" t="inlineStr">
        <is>
          <t>M6</t>
        </is>
      </c>
      <c r="B8" s="3" t="inlineStr">
        <is>
          <t>Pet Hub Ready</t>
        </is>
      </c>
      <c r="C8" s="6" t="n">
        <v>46246</v>
      </c>
      <c r="D8" s="3" t="b">
        <v>0</v>
      </c>
      <c r="E8" s="8" t="n">
        <v>0</v>
      </c>
      <c r="F8" s="3" t="inlineStr">
        <is>
          <t>Not Started</t>
        </is>
      </c>
      <c r="G8" s="3" t="inlineStr">
        <is>
          <t>M3</t>
        </is>
      </c>
      <c r="H8" s="3" t="inlineStr">
        <is>
          <t>Amber</t>
        </is>
      </c>
      <c r="I8" s="3" t="b">
        <v>0</v>
      </c>
      <c r="J8" s="3" t="inlineStr">
        <is>
          <t>Pet catalog, active selection, care actions, and unlock UI pass.</t>
        </is>
      </c>
    </row>
    <row r="9" ht="42" customHeight="1">
      <c r="A9" s="4" t="inlineStr">
        <is>
          <t>M7</t>
        </is>
      </c>
      <c r="B9" s="4" t="inlineStr">
        <is>
          <t>Feature Integration Gate</t>
        </is>
      </c>
      <c r="C9" s="7" t="n">
        <v>46251</v>
      </c>
      <c r="D9" s="4" t="b">
        <v>0</v>
      </c>
      <c r="E9" s="5" t="n">
        <v>0</v>
      </c>
      <c r="F9" s="4" t="inlineStr">
        <is>
          <t>Not Started</t>
        </is>
      </c>
      <c r="G9" s="4" t="inlineStr">
        <is>
          <t>M5,M6</t>
        </is>
      </c>
      <c r="H9" s="4" t="inlineStr">
        <is>
          <t>Amber</t>
        </is>
      </c>
      <c r="I9" s="4" t="b">
        <v>0</v>
      </c>
      <c r="J9" s="4" t="inlineStr">
        <is>
          <t>Mandatory reviewer sign-off for gamification, tabs, localization, and scope compliance.</t>
        </is>
      </c>
    </row>
    <row r="10" ht="42" customHeight="1">
      <c r="A10" s="3" t="inlineStr">
        <is>
          <t>M8</t>
        </is>
      </c>
      <c r="B10" s="3" t="inlineStr">
        <is>
          <t>iOS Smoke Gate</t>
        </is>
      </c>
      <c r="C10" s="6" t="n">
        <v>46253</v>
      </c>
      <c r="D10" s="3" t="b">
        <v>0</v>
      </c>
      <c r="E10" s="8" t="n">
        <v>0</v>
      </c>
      <c r="F10" s="3" t="inlineStr">
        <is>
          <t>Not Started</t>
        </is>
      </c>
      <c r="G10" s="3" t="inlineStr">
        <is>
          <t>M7</t>
        </is>
      </c>
      <c r="H10" s="3" t="inlineStr">
        <is>
          <t>Amber</t>
        </is>
      </c>
      <c r="I10" s="3" t="b">
        <v>0</v>
      </c>
      <c r="J10" s="3" t="inlineStr">
        <is>
          <t>iOS-only configuration and manual smoke checklist pass in an available iOS environment.</t>
        </is>
      </c>
    </row>
    <row r="11" ht="42" customHeight="1">
      <c r="A11" s="4" t="inlineStr">
        <is>
          <t>M9</t>
        </is>
      </c>
      <c r="B11" s="4" t="inlineStr">
        <is>
          <t>Migration Release Ready</t>
        </is>
      </c>
      <c r="C11" s="7" t="n">
        <v>46254</v>
      </c>
      <c r="D11" s="4" t="b">
        <v>0</v>
      </c>
      <c r="E11" s="5" t="n">
        <v>0</v>
      </c>
      <c r="F11" s="4" t="inlineStr">
        <is>
          <t>Not Started</t>
        </is>
      </c>
      <c r="G11" s="4" t="inlineStr">
        <is>
          <t>M8</t>
        </is>
      </c>
      <c r="H11" s="4" t="inlineStr">
        <is>
          <t>Green</t>
        </is>
      </c>
      <c r="I11" s="4" t="b">
        <v>0</v>
      </c>
      <c r="J11" s="4" t="inlineStr">
        <is>
          <t>Final acceptance, documentation, and handoff complete; Unity/AR core remains untouched.</t>
        </is>
      </c>
    </row>
  </sheetData>
  <autoFilter ref="A1:J11"/>
  <conditionalFormatting sqref="D2:D11">
    <cfRule type="expression" priority="1" dxfId="0">
      <formula>D2=TRUE</formula>
    </cfRule>
    <cfRule type="expression" priority="2" dxfId="1">
      <formula>D2=FALSE</formula>
    </cfRule>
  </conditionalFormatting>
  <conditionalFormatting sqref="F2:F11">
    <cfRule type="expression" priority="3" dxfId="0">
      <formula>F2="Done"</formula>
    </cfRule>
    <cfRule type="expression" priority="4" dxfId="2">
      <formula>F2="In Progress"</formula>
    </cfRule>
    <cfRule type="expression" priority="5" dxfId="3">
      <formula>F2="Not Started"</formula>
    </cfRule>
    <cfRule type="expression" priority="6" dxfId="1">
      <formula>F2="Blocked"</formula>
    </cfRule>
    <cfRule type="expression" priority="7" dxfId="4">
      <formula>F2="Skipped"</formula>
    </cfRule>
  </conditionalFormatting>
  <conditionalFormatting sqref="I2:I11">
    <cfRule type="expression" priority="8" dxfId="0">
      <formula>I2=TRUE</formula>
    </cfRule>
    <cfRule type="expression" priority="9" dxfId="1">
      <formula>I2=FALSE</formula>
    </cfRule>
  </conditionalFormatting>
  <dataValidations count="3">
    <dataValidation sqref="D2:D11" showDropDown="0" showInputMessage="0" showErrorMessage="0" allowBlank="0" errorTitle="Invalid value" error="Select a value from the list." promptTitle="Tracker field" prompt="Choose a tracker value." type="list">
      <formula1>"TRUE,FALSE"</formula1>
    </dataValidation>
    <dataValidation sqref="F2:F11" showDropDown="0" showInputMessage="0" showErrorMessage="0" allowBlank="0" errorTitle="Invalid value" error="Select a value from the list." promptTitle="Tracker field" prompt="Choose a tracker value." type="list">
      <formula1>"Done,In Progress,Not Started,Blocked,Skipped"</formula1>
    </dataValidation>
    <dataValidation sqref="I2:I11" showDropDown="0" showInputMessage="0" showErrorMessage="0" allowBlank="0" errorTitle="Invalid value" error="Select a value from the list." promptTitle="Tracker field" prompt="Choose a tracker value." type="list">
      <formula1>"TRUE,FALSE"</formula1>
    </dataValidation>
  </dataValidations>
  <pageMargins left="0.75" right="0.75" top="1" bottom="1" header="0.5" footer="0.5"/>
  <pageSetup orientation="landscape" fitToHeight="0" fitToWidth="1"/>
  <headerFooter>
    <oddHeader/>
    <oddFooter>&amp;CCourses + Pets RN Migration | Internal Planning&amp;RPage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E6BBE"/>
    <outlinePr summaryBelow="1" summaryRight="1"/>
    <pageSetUpPr fitToPage="1"/>
  </sheetPr>
  <dimension ref="A1:J3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68" customWidth="1" min="3" max="3"/>
    <col width="13" customWidth="1" min="4" max="4"/>
    <col width="12" customWidth="1" min="5" max="5"/>
    <col width="16" customWidth="1" min="6" max="6"/>
    <col width="10" customWidth="1" min="7" max="7"/>
    <col width="45" customWidth="1" min="8" max="8"/>
    <col width="12" customWidth="1" min="9" max="9"/>
    <col width="32" customWidth="1" min="10" max="10"/>
  </cols>
  <sheetData>
    <row r="1" ht="30" customHeight="1">
      <c r="A1" s="2" t="inlineStr">
        <is>
          <t>Req_ID</t>
        </is>
      </c>
      <c r="B1" s="2" t="inlineStr">
        <is>
          <t>Category</t>
        </is>
      </c>
      <c r="C1" s="2" t="inlineStr">
        <is>
          <t>Requirement_Description</t>
        </is>
      </c>
      <c r="D1" s="2" t="inlineStr">
        <is>
          <t>Priority</t>
        </is>
      </c>
      <c r="E1" s="2" t="inlineStr">
        <is>
          <t>MoSCoW</t>
        </is>
      </c>
      <c r="F1" s="2" t="inlineStr">
        <is>
          <t>Status</t>
        </is>
      </c>
      <c r="G1" s="2" t="inlineStr">
        <is>
          <t>Done</t>
        </is>
      </c>
      <c r="H1" s="2" t="inlineStr">
        <is>
          <t>Verification_Method</t>
        </is>
      </c>
      <c r="I1" s="2" t="inlineStr">
        <is>
          <t>WBS_Link</t>
        </is>
      </c>
      <c r="J1" s="2" t="inlineStr">
        <is>
          <t>Evidence / Notes</t>
        </is>
      </c>
    </row>
    <row r="2" ht="42" customHeight="1">
      <c r="A2" s="3" t="inlineStr">
        <is>
          <t>REQ-001</t>
        </is>
      </c>
      <c r="B2" s="3" t="inlineStr">
        <is>
          <t>Authentication</t>
        </is>
      </c>
      <c r="C2" s="3" t="inlineStr">
        <is>
          <t>The RN app shall restore a valid authenticated session at launch.</t>
        </is>
      </c>
      <c r="D2" s="3" t="inlineStr">
        <is>
          <t>Critical</t>
        </is>
      </c>
      <c r="E2" s="3" t="inlineStr">
        <is>
          <t>Must</t>
        </is>
      </c>
      <c r="F2" s="3" t="inlineStr">
        <is>
          <t>Not Started</t>
        </is>
      </c>
      <c r="G2" s="3" t="b">
        <v>0</v>
      </c>
      <c r="H2" s="3" t="inlineStr">
        <is>
          <t>Launch with a stored valid token</t>
        </is>
      </c>
      <c r="I2" s="3" t="inlineStr">
        <is>
          <t>1.0</t>
        </is>
      </c>
      <c r="J2" s="3" t="inlineStr"/>
    </row>
    <row r="3" ht="42" customHeight="1">
      <c r="A3" s="4" t="inlineStr">
        <is>
          <t>REQ-002</t>
        </is>
      </c>
      <c r="B3" s="4" t="inlineStr">
        <is>
          <t>Authentication</t>
        </is>
      </c>
      <c r="C3" s="4" t="inlineStr">
        <is>
          <t>Authentication tokens shall be stored only with expo-secure-store and removed on logout.</t>
        </is>
      </c>
      <c r="D3" s="4" t="inlineStr">
        <is>
          <t>Critical</t>
        </is>
      </c>
      <c r="E3" s="4" t="inlineStr">
        <is>
          <t>Must</t>
        </is>
      </c>
      <c r="F3" s="4" t="inlineStr">
        <is>
          <t>Not Started</t>
        </is>
      </c>
      <c r="G3" s="4" t="b">
        <v>0</v>
      </c>
      <c r="H3" s="4" t="inlineStr">
        <is>
          <t>Login, inspect behavior, then logout and relaunch</t>
        </is>
      </c>
      <c r="I3" s="4" t="inlineStr">
        <is>
          <t>1.0</t>
        </is>
      </c>
      <c r="J3" s="4" t="inlineStr"/>
    </row>
    <row r="4" ht="42" customHeight="1">
      <c r="A4" s="3" t="inlineStr">
        <is>
          <t>REQ-003</t>
        </is>
      </c>
      <c r="B4" s="3" t="inlineStr">
        <is>
          <t>Authentication</t>
        </is>
      </c>
      <c r="C4" s="3" t="inlineStr">
        <is>
          <t>Expired or rejected sessions shall return the user to AuthScreen without a crash loop.</t>
        </is>
      </c>
      <c r="D4" s="3" t="inlineStr">
        <is>
          <t>Critical</t>
        </is>
      </c>
      <c r="E4" s="3" t="inlineStr">
        <is>
          <t>Must</t>
        </is>
      </c>
      <c r="F4" s="3" t="inlineStr">
        <is>
          <t>Not Started</t>
        </is>
      </c>
      <c r="G4" s="3" t="b">
        <v>0</v>
      </c>
      <c r="H4" s="3" t="inlineStr">
        <is>
          <t>Use an invalid or expired token</t>
        </is>
      </c>
      <c r="I4" s="3" t="inlineStr">
        <is>
          <t>1.0</t>
        </is>
      </c>
      <c r="J4" s="3" t="inlineStr"/>
    </row>
    <row r="5" ht="42" customHeight="1">
      <c r="A5" s="4" t="inlineStr">
        <is>
          <t>REQ-004</t>
        </is>
      </c>
      <c r="B5" s="4" t="inlineStr">
        <is>
          <t>Courses</t>
        </is>
      </c>
      <c r="C5" s="4" t="inlineStr">
        <is>
          <t>The app shall list available courses with localized title, level, topic, and progress states.</t>
        </is>
      </c>
      <c r="D5" s="4" t="inlineStr">
        <is>
          <t>Critical</t>
        </is>
      </c>
      <c r="E5" s="4" t="inlineStr">
        <is>
          <t>Must</t>
        </is>
      </c>
      <c r="F5" s="4" t="inlineStr">
        <is>
          <t>Not Started</t>
        </is>
      </c>
      <c r="G5" s="4" t="b">
        <v>0</v>
      </c>
      <c r="H5" s="4" t="inlineStr">
        <is>
          <t>Authenticated API and UI test</t>
        </is>
      </c>
      <c r="I5" s="4" t="inlineStr">
        <is>
          <t>5.0</t>
        </is>
      </c>
      <c r="J5" s="4" t="inlineStr"/>
    </row>
    <row r="6" ht="42" customHeight="1">
      <c r="A6" s="3" t="inlineStr">
        <is>
          <t>REQ-005</t>
        </is>
      </c>
      <c r="B6" s="3" t="inlineStr">
        <is>
          <t>Courses</t>
        </is>
      </c>
      <c r="C6" s="3" t="inlineStr">
        <is>
          <t>The course catalog shall provide loading, empty, error, and retry states.</t>
        </is>
      </c>
      <c r="D6" s="3" t="inlineStr">
        <is>
          <t>High</t>
        </is>
      </c>
      <c r="E6" s="3" t="inlineStr">
        <is>
          <t>Must</t>
        </is>
      </c>
      <c r="F6" s="3" t="inlineStr">
        <is>
          <t>Not Started</t>
        </is>
      </c>
      <c r="G6" s="3" t="b">
        <v>0</v>
      </c>
      <c r="H6" s="3" t="inlineStr">
        <is>
          <t>Simulate slow, empty, and failed responses</t>
        </is>
      </c>
      <c r="I6" s="3" t="inlineStr">
        <is>
          <t>5.0</t>
        </is>
      </c>
      <c r="J6" s="3" t="inlineStr"/>
    </row>
    <row r="7" ht="42" customHeight="1">
      <c r="A7" s="4" t="inlineStr">
        <is>
          <t>REQ-006</t>
        </is>
      </c>
      <c r="B7" s="4" t="inlineStr">
        <is>
          <t>Courses</t>
        </is>
      </c>
      <c r="C7" s="4" t="inlineStr">
        <is>
          <t>Selecting a course shall open its details and ordered lesson list.</t>
        </is>
      </c>
      <c r="D7" s="4" t="inlineStr">
        <is>
          <t>Critical</t>
        </is>
      </c>
      <c r="E7" s="4" t="inlineStr">
        <is>
          <t>Must</t>
        </is>
      </c>
      <c r="F7" s="4" t="inlineStr">
        <is>
          <t>Not Started</t>
        </is>
      </c>
      <c r="G7" s="4" t="b">
        <v>0</v>
      </c>
      <c r="H7" s="4" t="inlineStr">
        <is>
          <t>Navigate from catalog to course details</t>
        </is>
      </c>
      <c r="I7" s="4" t="inlineStr">
        <is>
          <t>6.0</t>
        </is>
      </c>
      <c r="J7" s="4" t="inlineStr"/>
    </row>
    <row r="8" ht="42" customHeight="1">
      <c r="A8" s="3" t="inlineStr">
        <is>
          <t>REQ-007</t>
        </is>
      </c>
      <c r="B8" s="3" t="inlineStr">
        <is>
          <t>Courses</t>
        </is>
      </c>
      <c r="C8" s="3" t="inlineStr">
        <is>
          <t>Course details shall show completion progress and lesson availability.</t>
        </is>
      </c>
      <c r="D8" s="3" t="inlineStr">
        <is>
          <t>High</t>
        </is>
      </c>
      <c r="E8" s="3" t="inlineStr">
        <is>
          <t>Should</t>
        </is>
      </c>
      <c r="F8" s="3" t="inlineStr">
        <is>
          <t>Not Started</t>
        </is>
      </c>
      <c r="G8" s="3" t="b">
        <v>0</v>
      </c>
      <c r="H8" s="3" t="inlineStr">
        <is>
          <t>Compare UI with API response</t>
        </is>
      </c>
      <c r="I8" s="3" t="inlineStr">
        <is>
          <t>6.0</t>
        </is>
      </c>
      <c r="J8" s="3" t="inlineStr"/>
    </row>
    <row r="9" ht="42" customHeight="1">
      <c r="A9" s="4" t="inlineStr">
        <is>
          <t>REQ-008</t>
        </is>
      </c>
      <c r="B9" s="4" t="inlineStr">
        <is>
          <t>Lessons</t>
        </is>
      </c>
      <c r="C9" s="4" t="inlineStr">
        <is>
          <t>The lesson player shall support non-AR flashcard and/or quiz lesson content.</t>
        </is>
      </c>
      <c r="D9" s="4" t="inlineStr">
        <is>
          <t>Critical</t>
        </is>
      </c>
      <c r="E9" s="4" t="inlineStr">
        <is>
          <t>Must</t>
        </is>
      </c>
      <c r="F9" s="4" t="inlineStr">
        <is>
          <t>Not Started</t>
        </is>
      </c>
      <c r="G9" s="4" t="b">
        <v>0</v>
      </c>
      <c r="H9" s="4" t="inlineStr">
        <is>
          <t>Complete representative lesson content</t>
        </is>
      </c>
      <c r="I9" s="4" t="inlineStr">
        <is>
          <t>7.0</t>
        </is>
      </c>
      <c r="J9" s="4" t="inlineStr"/>
    </row>
    <row r="10" ht="42" customHeight="1">
      <c r="A10" s="3" t="inlineStr">
        <is>
          <t>REQ-009</t>
        </is>
      </c>
      <c r="B10" s="3" t="inlineStr">
        <is>
          <t>Lessons</t>
        </is>
      </c>
      <c r="C10" s="3" t="inlineStr">
        <is>
          <t>Completing a lesson shall call the authenticated completion endpoint and refresh progress.</t>
        </is>
      </c>
      <c r="D10" s="3" t="inlineStr">
        <is>
          <t>Critical</t>
        </is>
      </c>
      <c r="E10" s="3" t="inlineStr">
        <is>
          <t>Must</t>
        </is>
      </c>
      <c r="F10" s="3" t="inlineStr">
        <is>
          <t>Not Started</t>
        </is>
      </c>
      <c r="G10" s="3" t="b">
        <v>0</v>
      </c>
      <c r="H10" s="3" t="inlineStr">
        <is>
          <t>Complete a lesson and verify refreshed progress</t>
        </is>
      </c>
      <c r="I10" s="3" t="inlineStr">
        <is>
          <t>7.0</t>
        </is>
      </c>
      <c r="J10" s="3" t="inlineStr"/>
    </row>
    <row r="11" ht="42" customHeight="1">
      <c r="A11" s="4" t="inlineStr">
        <is>
          <t>REQ-010</t>
        </is>
      </c>
      <c r="B11" s="4" t="inlineStr">
        <is>
          <t>Lessons</t>
        </is>
      </c>
      <c r="C11" s="4" t="inlineStr">
        <is>
          <t>A lesson containing an AR reference shall show a localized unavailable placeholder and shall not invoke Unity or AR code.</t>
        </is>
      </c>
      <c r="D11" s="4" t="inlineStr">
        <is>
          <t>Critical</t>
        </is>
      </c>
      <c r="E11" s="4" t="inlineStr">
        <is>
          <t>Must</t>
        </is>
      </c>
      <c r="F11" s="4" t="inlineStr">
        <is>
          <t>Not Started</t>
        </is>
      </c>
      <c r="G11" s="4" t="b">
        <v>0</v>
      </c>
      <c r="H11" s="4" t="inlineStr">
        <is>
          <t>Open a lesson fixture containing an AR reference</t>
        </is>
      </c>
      <c r="I11" s="4" t="inlineStr">
        <is>
          <t>7.0</t>
        </is>
      </c>
      <c r="J11" s="4" t="inlineStr"/>
    </row>
    <row r="12" ht="42" customHeight="1">
      <c r="A12" s="3" t="inlineStr">
        <is>
          <t>REQ-011</t>
        </is>
      </c>
      <c r="B12" s="3" t="inlineStr">
        <is>
          <t>Pets</t>
        </is>
      </c>
      <c r="C12" s="3" t="inlineStr">
        <is>
          <t>The pet hub shall list available, locked, active, and evolving pet states.</t>
        </is>
      </c>
      <c r="D12" s="3" t="inlineStr">
        <is>
          <t>Critical</t>
        </is>
      </c>
      <c r="E12" s="3" t="inlineStr">
        <is>
          <t>Must</t>
        </is>
      </c>
      <c r="F12" s="3" t="inlineStr">
        <is>
          <t>Not Started</t>
        </is>
      </c>
      <c r="G12" s="3" t="b">
        <v>0</v>
      </c>
      <c r="H12" s="3" t="inlineStr">
        <is>
          <t>Compare pet grid against API fixture</t>
        </is>
      </c>
      <c r="I12" s="3" t="inlineStr">
        <is>
          <t>8.0</t>
        </is>
      </c>
      <c r="J12" s="3" t="inlineStr"/>
    </row>
    <row r="13" ht="42" customHeight="1">
      <c r="A13" s="4" t="inlineStr">
        <is>
          <t>REQ-012</t>
        </is>
      </c>
      <c r="B13" s="4" t="inlineStr">
        <is>
          <t>Pets</t>
        </is>
      </c>
      <c r="C13" s="4" t="inlineStr">
        <is>
          <t>Users shall be able to select an eligible pet as active.</t>
        </is>
      </c>
      <c r="D13" s="4" t="inlineStr">
        <is>
          <t>Critical</t>
        </is>
      </c>
      <c r="E13" s="4" t="inlineStr">
        <is>
          <t>Must</t>
        </is>
      </c>
      <c r="F13" s="4" t="inlineStr">
        <is>
          <t>Not Started</t>
        </is>
      </c>
      <c r="G13" s="4" t="b">
        <v>0</v>
      </c>
      <c r="H13" s="4" t="inlineStr">
        <is>
          <t>Select an unlocked pet and refresh</t>
        </is>
      </c>
      <c r="I13" s="4" t="inlineStr">
        <is>
          <t>8.0</t>
        </is>
      </c>
      <c r="J13" s="4" t="inlineStr"/>
    </row>
    <row r="14" ht="42" customHeight="1">
      <c r="A14" s="3" t="inlineStr">
        <is>
          <t>REQ-013</t>
        </is>
      </c>
      <c r="B14" s="3" t="inlineStr">
        <is>
          <t>Pets</t>
        </is>
      </c>
      <c r="C14" s="3" t="inlineStr">
        <is>
          <t>Supported feed, play, and care actions shall update pet state and handle API errors.</t>
        </is>
      </c>
      <c r="D14" s="3" t="inlineStr">
        <is>
          <t>High</t>
        </is>
      </c>
      <c r="E14" s="3" t="inlineStr">
        <is>
          <t>Should</t>
        </is>
      </c>
      <c r="F14" s="3" t="inlineStr">
        <is>
          <t>Not Started</t>
        </is>
      </c>
      <c r="G14" s="3" t="b">
        <v>0</v>
      </c>
      <c r="H14" s="3" t="inlineStr">
        <is>
          <t>Run each supported pet action</t>
        </is>
      </c>
      <c r="I14" s="3" t="inlineStr">
        <is>
          <t>8.0</t>
        </is>
      </c>
      <c r="J14" s="3" t="inlineStr"/>
    </row>
    <row r="15" ht="42" customHeight="1">
      <c r="A15" s="4" t="inlineStr">
        <is>
          <t>REQ-014</t>
        </is>
      </c>
      <c r="B15" s="4" t="inlineStr">
        <is>
          <t>Pets</t>
        </is>
      </c>
      <c r="C15" s="4" t="inlineStr">
        <is>
          <t>Pet unlock and evolution feedback shall use RN-native cards and modals without 3D or AR viewers.</t>
        </is>
      </c>
      <c r="D15" s="4" t="inlineStr">
        <is>
          <t>High</t>
        </is>
      </c>
      <c r="E15" s="4" t="inlineStr">
        <is>
          <t>Should</t>
        </is>
      </c>
      <c r="F15" s="4" t="inlineStr">
        <is>
          <t>Not Started</t>
        </is>
      </c>
      <c r="G15" s="4" t="b">
        <v>0</v>
      </c>
      <c r="H15" s="4" t="inlineStr">
        <is>
          <t>Trigger unlock/evolution fixture</t>
        </is>
      </c>
      <c r="I15" s="4" t="inlineStr">
        <is>
          <t>8.0</t>
        </is>
      </c>
      <c r="J15" s="4" t="inlineStr"/>
    </row>
    <row r="16" ht="42" customHeight="1">
      <c r="A16" s="3" t="inlineStr">
        <is>
          <t>REQ-015</t>
        </is>
      </c>
      <c r="B16" s="3" t="inlineStr">
        <is>
          <t>Gamification</t>
        </is>
      </c>
      <c r="C16" s="3" t="inlineStr">
        <is>
          <t>The app shall show current XP and level using the existing clay progress component.</t>
        </is>
      </c>
      <c r="D16" s="3" t="inlineStr">
        <is>
          <t>High</t>
        </is>
      </c>
      <c r="E16" s="3" t="inlineStr">
        <is>
          <t>Must</t>
        </is>
      </c>
      <c r="F16" s="3" t="inlineStr">
        <is>
          <t>Not Started</t>
        </is>
      </c>
      <c r="G16" s="3" t="b">
        <v>0</v>
      </c>
      <c r="H16" s="3" t="inlineStr">
        <is>
          <t>Compare XP display against summary endpoint</t>
        </is>
      </c>
      <c r="I16" s="3" t="inlineStr">
        <is>
          <t>9.0</t>
        </is>
      </c>
      <c r="J16" s="3" t="inlineStr"/>
    </row>
    <row r="17" ht="42" customHeight="1">
      <c r="A17" s="4" t="inlineStr">
        <is>
          <t>REQ-016</t>
        </is>
      </c>
      <c r="B17" s="4" t="inlineStr">
        <is>
          <t>Gamification</t>
        </is>
      </c>
      <c r="C17" s="4" t="inlineStr">
        <is>
          <t>The app shall show the current streak with a localized state.</t>
        </is>
      </c>
      <c r="D17" s="4" t="inlineStr">
        <is>
          <t>High</t>
        </is>
      </c>
      <c r="E17" s="4" t="inlineStr">
        <is>
          <t>Should</t>
        </is>
      </c>
      <c r="F17" s="4" t="inlineStr">
        <is>
          <t>Not Started</t>
        </is>
      </c>
      <c r="G17" s="4" t="b">
        <v>0</v>
      </c>
      <c r="H17" s="4" t="inlineStr">
        <is>
          <t>Compare streak display against API</t>
        </is>
      </c>
      <c r="I17" s="4" t="inlineStr">
        <is>
          <t>9.0</t>
        </is>
      </c>
      <c r="J17" s="4" t="inlineStr"/>
    </row>
    <row r="18" ht="42" customHeight="1">
      <c r="A18" s="3" t="inlineStr">
        <is>
          <t>REQ-017</t>
        </is>
      </c>
      <c r="B18" s="3" t="inlineStr">
        <is>
          <t>Gamification</t>
        </is>
      </c>
      <c r="C18" s="3" t="inlineStr">
        <is>
          <t>Pet unlock conditions shall use backend-provided progress and eligibility data.</t>
        </is>
      </c>
      <c r="D18" s="3" t="inlineStr">
        <is>
          <t>Critical</t>
        </is>
      </c>
      <c r="E18" s="3" t="inlineStr">
        <is>
          <t>Must</t>
        </is>
      </c>
      <c r="F18" s="3" t="inlineStr">
        <is>
          <t>Not Started</t>
        </is>
      </c>
      <c r="G18" s="3" t="b">
        <v>0</v>
      </c>
      <c r="H18" s="3" t="inlineStr">
        <is>
          <t>Verify locked and eligible fixtures</t>
        </is>
      </c>
      <c r="I18" s="3" t="inlineStr">
        <is>
          <t>9.0</t>
        </is>
      </c>
      <c r="J18" s="3" t="inlineStr"/>
    </row>
    <row r="19" ht="42" customHeight="1">
      <c r="A19" s="4" t="inlineStr">
        <is>
          <t>REQ-018</t>
        </is>
      </c>
      <c r="B19" s="4" t="inlineStr">
        <is>
          <t>Navigation</t>
        </is>
      </c>
      <c r="C19" s="4" t="inlineStr">
        <is>
          <t>Authenticated navigation shall expose Home, Courses, Pets, and a Profile placeholder as bottom tabs.</t>
        </is>
      </c>
      <c r="D19" s="4" t="inlineStr">
        <is>
          <t>Critical</t>
        </is>
      </c>
      <c r="E19" s="4" t="inlineStr">
        <is>
          <t>Must</t>
        </is>
      </c>
      <c r="F19" s="4" t="inlineStr">
        <is>
          <t>Not Started</t>
        </is>
      </c>
      <c r="G19" s="4" t="b">
        <v>0</v>
      </c>
      <c r="H19" s="4" t="inlineStr">
        <is>
          <t>Navigate all tabs and back paths</t>
        </is>
      </c>
      <c r="I19" s="4" t="inlineStr">
        <is>
          <t>10.0</t>
        </is>
      </c>
      <c r="J19" s="4" t="inlineStr"/>
    </row>
    <row r="20" ht="42" customHeight="1">
      <c r="A20" s="3" t="inlineStr">
        <is>
          <t>REQ-019</t>
        </is>
      </c>
      <c r="B20" s="3" t="inlineStr">
        <is>
          <t>Navigation</t>
        </is>
      </c>
      <c r="C20" s="3" t="inlineStr">
        <is>
          <t>Existing non-migration routes shall remain available and shall not be deleted.</t>
        </is>
      </c>
      <c r="D20" s="3" t="inlineStr">
        <is>
          <t>High</t>
        </is>
      </c>
      <c r="E20" s="3" t="inlineStr">
        <is>
          <t>Must</t>
        </is>
      </c>
      <c r="F20" s="3" t="inlineStr">
        <is>
          <t>Not Started</t>
        </is>
      </c>
      <c r="G20" s="3" t="b">
        <v>0</v>
      </c>
      <c r="H20" s="3" t="inlineStr">
        <is>
          <t>Review route configuration and smoke paths</t>
        </is>
      </c>
      <c r="I20" s="3" t="inlineStr">
        <is>
          <t>10.0</t>
        </is>
      </c>
      <c r="J20" s="3" t="inlineStr"/>
    </row>
    <row r="21" ht="42" customHeight="1">
      <c r="A21" s="4" t="inlineStr">
        <is>
          <t>REQ-020</t>
        </is>
      </c>
      <c r="B21" s="4" t="inlineStr">
        <is>
          <t>Localization</t>
        </is>
      </c>
      <c r="C21" s="4" t="inlineStr">
        <is>
          <t>Every new user-visible string shall be sourced from the English and Vietnamese catalogs.</t>
        </is>
      </c>
      <c r="D21" s="4" t="inlineStr">
        <is>
          <t>Critical</t>
        </is>
      </c>
      <c r="E21" s="4" t="inlineStr">
        <is>
          <t>Must</t>
        </is>
      </c>
      <c r="F21" s="4" t="inlineStr">
        <is>
          <t>Not Started</t>
        </is>
      </c>
      <c r="G21" s="4" t="b">
        <v>0</v>
      </c>
      <c r="H21" s="4" t="inlineStr">
        <is>
          <t>Search new UI files and switch locale</t>
        </is>
      </c>
      <c r="I21" s="4" t="inlineStr">
        <is>
          <t>3.0</t>
        </is>
      </c>
      <c r="J21" s="4" t="inlineStr"/>
    </row>
    <row r="22" ht="42" customHeight="1">
      <c r="A22" s="3" t="inlineStr">
        <is>
          <t>REQ-021</t>
        </is>
      </c>
      <c r="B22" s="3" t="inlineStr">
        <is>
          <t>Localization</t>
        </is>
      </c>
      <c r="C22" s="3" t="inlineStr">
        <is>
          <t>Changing locale shall update visible migration screens without restarting the app.</t>
        </is>
      </c>
      <c r="D22" s="3" t="inlineStr">
        <is>
          <t>High</t>
        </is>
      </c>
      <c r="E22" s="3" t="inlineStr">
        <is>
          <t>Should</t>
        </is>
      </c>
      <c r="F22" s="3" t="inlineStr">
        <is>
          <t>Not Started</t>
        </is>
      </c>
      <c r="G22" s="3" t="b">
        <v>0</v>
      </c>
      <c r="H22" s="3" t="inlineStr">
        <is>
          <t>Toggle en/vi on each new screen</t>
        </is>
      </c>
      <c r="I22" s="3" t="inlineStr">
        <is>
          <t>3.0</t>
        </is>
      </c>
      <c r="J22" s="3" t="inlineStr"/>
    </row>
    <row r="23" ht="42" customHeight="1">
      <c r="A23" s="4" t="inlineStr">
        <is>
          <t>REQ-022</t>
        </is>
      </c>
      <c r="B23" s="4" t="inlineStr">
        <is>
          <t>Design</t>
        </is>
      </c>
      <c r="C23" s="4" t="inlineStr">
        <is>
          <t>New screens shall reuse ClayCard, ClayButton, ClayProgressBar, and shared design tokens.</t>
        </is>
      </c>
      <c r="D23" s="4" t="inlineStr">
        <is>
          <t>High</t>
        </is>
      </c>
      <c r="E23" s="4" t="inlineStr">
        <is>
          <t>Must</t>
        </is>
      </c>
      <c r="F23" s="4" t="inlineStr">
        <is>
          <t>Not Started</t>
        </is>
      </c>
      <c r="G23" s="4" t="b">
        <v>0</v>
      </c>
      <c r="H23" s="4" t="inlineStr">
        <is>
          <t>Component and visual review</t>
        </is>
      </c>
      <c r="I23" s="4" t="inlineStr">
        <is>
          <t>2.0</t>
        </is>
      </c>
      <c r="J23" s="4" t="inlineStr"/>
    </row>
    <row r="24" ht="42" customHeight="1">
      <c r="A24" s="3" t="inlineStr">
        <is>
          <t>REQ-023</t>
        </is>
      </c>
      <c r="B24" s="3" t="inlineStr">
        <is>
          <t>Design</t>
        </is>
      </c>
      <c r="C24" s="3" t="inlineStr">
        <is>
          <t>Course and pet themes shall meet readable contrast, touch target, and dynamic text expectations.</t>
        </is>
      </c>
      <c r="D24" s="3" t="inlineStr">
        <is>
          <t>High</t>
        </is>
      </c>
      <c r="E24" s="3" t="inlineStr">
        <is>
          <t>Should</t>
        </is>
      </c>
      <c r="F24" s="3" t="inlineStr">
        <is>
          <t>Not Started</t>
        </is>
      </c>
      <c r="G24" s="3" t="b">
        <v>0</v>
      </c>
      <c r="H24" s="3" t="inlineStr">
        <is>
          <t>Accessibility review on iOS</t>
        </is>
      </c>
      <c r="I24" s="3" t="inlineStr">
        <is>
          <t>2.0</t>
        </is>
      </c>
      <c r="J24" s="3" t="inlineStr"/>
    </row>
    <row r="25" ht="42" customHeight="1">
      <c r="A25" s="4" t="inlineStr">
        <is>
          <t>REQ-024</t>
        </is>
      </c>
      <c r="B25" s="4" t="inlineStr">
        <is>
          <t>API</t>
        </is>
      </c>
      <c r="C25" s="4" t="inlineStr">
        <is>
          <t>The API base URL shall come from EXPO_PUBLIC_API_URL and shall not be hardcoded.</t>
        </is>
      </c>
      <c r="D25" s="4" t="inlineStr">
        <is>
          <t>Critical</t>
        </is>
      </c>
      <c r="E25" s="4" t="inlineStr">
        <is>
          <t>Must</t>
        </is>
      </c>
      <c r="F25" s="4" t="inlineStr">
        <is>
          <t>Not Started</t>
        </is>
      </c>
      <c r="G25" s="4" t="b">
        <v>0</v>
      </c>
      <c r="H25" s="4" t="inlineStr">
        <is>
          <t>Static review and environment smoke test</t>
        </is>
      </c>
      <c r="I25" s="4" t="inlineStr">
        <is>
          <t>4.0</t>
        </is>
      </c>
      <c r="J25" s="4" t="inlineStr"/>
    </row>
    <row r="26" ht="42" customHeight="1">
      <c r="A26" s="3" t="inlineStr">
        <is>
          <t>REQ-025</t>
        </is>
      </c>
      <c r="B26" s="3" t="inlineStr">
        <is>
          <t>API</t>
        </is>
      </c>
      <c r="C26" s="3" t="inlineStr">
        <is>
          <t>Authenticated course, pet, and gamification requests shall send the bearer token.</t>
        </is>
      </c>
      <c r="D26" s="3" t="inlineStr">
        <is>
          <t>Critical</t>
        </is>
      </c>
      <c r="E26" s="3" t="inlineStr">
        <is>
          <t>Must</t>
        </is>
      </c>
      <c r="F26" s="3" t="inlineStr">
        <is>
          <t>Not Started</t>
        </is>
      </c>
      <c r="G26" s="3" t="b">
        <v>0</v>
      </c>
      <c r="H26" s="3" t="inlineStr">
        <is>
          <t>Inspect requests in a test environment</t>
        </is>
      </c>
      <c r="I26" s="3" t="inlineStr">
        <is>
          <t>4.0</t>
        </is>
      </c>
      <c r="J26" s="3" t="inlineStr"/>
    </row>
    <row r="27" ht="42" customHeight="1">
      <c r="A27" s="4" t="inlineStr">
        <is>
          <t>REQ-026</t>
        </is>
      </c>
      <c r="B27" s="4" t="inlineStr">
        <is>
          <t>API</t>
        </is>
      </c>
      <c r="C27" s="4" t="inlineStr">
        <is>
          <t>Mobile services shall match backend route and response contracts rather than legacy web assumptions.</t>
        </is>
      </c>
      <c r="D27" s="4" t="inlineStr">
        <is>
          <t>Critical</t>
        </is>
      </c>
      <c r="E27" s="4" t="inlineStr">
        <is>
          <t>Must</t>
        </is>
      </c>
      <c r="F27" s="4" t="inlineStr">
        <is>
          <t>Not Started</t>
        </is>
      </c>
      <c r="G27" s="4" t="b">
        <v>0</v>
      </c>
      <c r="H27" s="4" t="inlineStr">
        <is>
          <t>Contract audit and typed fixture tests</t>
        </is>
      </c>
      <c r="I27" s="4" t="inlineStr">
        <is>
          <t>4.0</t>
        </is>
      </c>
      <c r="J27" s="4" t="inlineStr"/>
    </row>
    <row r="28" ht="42" customHeight="1">
      <c r="A28" s="3" t="inlineStr">
        <is>
          <t>REQ-027</t>
        </is>
      </c>
      <c r="B28" s="3" t="inlineStr">
        <is>
          <t>API</t>
        </is>
      </c>
      <c r="C28" s="3" t="inlineStr">
        <is>
          <t>Client mutations shall not trust or submit a user identity where the backend derives it from the token.</t>
        </is>
      </c>
      <c r="D28" s="3" t="inlineStr">
        <is>
          <t>Critical</t>
        </is>
      </c>
      <c r="E28" s="3" t="inlineStr">
        <is>
          <t>Must</t>
        </is>
      </c>
      <c r="F28" s="3" t="inlineStr">
        <is>
          <t>Not Started</t>
        </is>
      </c>
      <c r="G28" s="3" t="b">
        <v>0</v>
      </c>
      <c r="H28" s="3" t="inlineStr">
        <is>
          <t>Request payload review</t>
        </is>
      </c>
      <c r="I28" s="3" t="inlineStr">
        <is>
          <t>4.0</t>
        </is>
      </c>
      <c r="J28" s="3" t="inlineStr"/>
    </row>
    <row r="29" ht="42" customHeight="1">
      <c r="A29" s="4" t="inlineStr">
        <is>
          <t>REQ-028</t>
        </is>
      </c>
      <c r="B29" s="4" t="inlineStr">
        <is>
          <t>Reliability</t>
        </is>
      </c>
      <c r="C29" s="4" t="inlineStr">
        <is>
          <t>Migration screens shall handle offline and server-error states without crashing.</t>
        </is>
      </c>
      <c r="D29" s="4" t="inlineStr">
        <is>
          <t>High</t>
        </is>
      </c>
      <c r="E29" s="4" t="inlineStr">
        <is>
          <t>Must</t>
        </is>
      </c>
      <c r="F29" s="4" t="inlineStr">
        <is>
          <t>Not Started</t>
        </is>
      </c>
      <c r="G29" s="4" t="b">
        <v>0</v>
      </c>
      <c r="H29" s="4" t="inlineStr">
        <is>
          <t>Disable network and retry</t>
        </is>
      </c>
      <c r="I29" s="4" t="inlineStr">
        <is>
          <t>5.0</t>
        </is>
      </c>
      <c r="J29" s="4" t="inlineStr"/>
    </row>
    <row r="30" ht="42" customHeight="1">
      <c r="A30" s="3" t="inlineStr">
        <is>
          <t>REQ-029</t>
        </is>
      </c>
      <c r="B30" s="3" t="inlineStr">
        <is>
          <t>Quality</t>
        </is>
      </c>
      <c r="C30" s="3" t="inlineStr">
        <is>
          <t>TypeScript shall compile without migration-introduced errors.</t>
        </is>
      </c>
      <c r="D30" s="3" t="inlineStr">
        <is>
          <t>Critical</t>
        </is>
      </c>
      <c r="E30" s="3" t="inlineStr">
        <is>
          <t>Must</t>
        </is>
      </c>
      <c r="F30" s="3" t="inlineStr">
        <is>
          <t>Not Started</t>
        </is>
      </c>
      <c r="G30" s="3" t="b">
        <v>0</v>
      </c>
      <c r="H30" s="3" t="inlineStr">
        <is>
          <t>Run npx tsc --noEmit</t>
        </is>
      </c>
      <c r="I30" s="3" t="inlineStr">
        <is>
          <t>11.0</t>
        </is>
      </c>
      <c r="J30" s="3" t="inlineStr"/>
    </row>
    <row r="31" ht="42" customHeight="1">
      <c r="A31" s="4" t="inlineStr">
        <is>
          <t>REQ-030</t>
        </is>
      </c>
      <c r="B31" s="4" t="inlineStr">
        <is>
          <t>Quality</t>
        </is>
      </c>
      <c r="C31" s="4" t="inlineStr">
        <is>
          <t>The migrated flow shall remain stable during a 10-minute iOS smoke session.</t>
        </is>
      </c>
      <c r="D31" s="4" t="inlineStr">
        <is>
          <t>Critical</t>
        </is>
      </c>
      <c r="E31" s="4" t="inlineStr">
        <is>
          <t>Must</t>
        </is>
      </c>
      <c r="F31" s="4" t="inlineStr">
        <is>
          <t>Not Started</t>
        </is>
      </c>
      <c r="G31" s="4" t="b">
        <v>0</v>
      </c>
      <c r="H31" s="4" t="inlineStr">
        <is>
          <t>Manual iOS smoke checklist</t>
        </is>
      </c>
      <c r="I31" s="4" t="inlineStr">
        <is>
          <t>11.0</t>
        </is>
      </c>
      <c r="J31" s="4" t="inlineStr"/>
    </row>
    <row r="32" ht="42" customHeight="1">
      <c r="A32" s="3" t="inlineStr">
        <is>
          <t>REQ-031</t>
        </is>
      </c>
      <c r="B32" s="3" t="inlineStr">
        <is>
          <t>Platform</t>
        </is>
      </c>
      <c r="C32" s="3" t="inlineStr">
        <is>
          <t>This sprint shall target iOS only; Android-specific implementation and validation are excluded.</t>
        </is>
      </c>
      <c r="D32" s="3" t="inlineStr">
        <is>
          <t>Critical</t>
        </is>
      </c>
      <c r="E32" s="3" t="inlineStr">
        <is>
          <t>Must</t>
        </is>
      </c>
      <c r="F32" s="3" t="inlineStr">
        <is>
          <t>Not Started</t>
        </is>
      </c>
      <c r="G32" s="3" t="b">
        <v>0</v>
      </c>
      <c r="H32" s="3" t="inlineStr">
        <is>
          <t>Scope and diff review</t>
        </is>
      </c>
      <c r="I32" s="3" t="inlineStr">
        <is>
          <t>11.0</t>
        </is>
      </c>
      <c r="J32" s="3" t="inlineStr"/>
    </row>
    <row r="33" ht="42" customHeight="1">
      <c r="A33" s="4" t="inlineStr">
        <is>
          <t>REQ-032</t>
        </is>
      </c>
      <c r="B33" s="4" t="inlineStr">
        <is>
          <t>Scope</t>
        </is>
      </c>
      <c r="C33" s="4" t="inlineStr">
        <is>
          <t>Unity and AR core files shall not be modified, renamed, deleted, or newly coupled to migration screens.</t>
        </is>
      </c>
      <c r="D33" s="4" t="inlineStr">
        <is>
          <t>Critical</t>
        </is>
      </c>
      <c r="E33" s="4" t="inlineStr">
        <is>
          <t>Must</t>
        </is>
      </c>
      <c r="F33" s="4" t="inlineStr">
        <is>
          <t>Not Started</t>
        </is>
      </c>
      <c r="G33" s="4" t="b">
        <v>0</v>
      </c>
      <c r="H33" s="4" t="inlineStr">
        <is>
          <t>Git diff scope audit</t>
        </is>
      </c>
      <c r="I33" s="4" t="inlineStr">
        <is>
          <t>11.0</t>
        </is>
      </c>
      <c r="J33" s="4" t="inlineStr"/>
    </row>
    <row r="34" ht="42" customHeight="1">
      <c r="A34" s="3" t="inlineStr">
        <is>
          <t>REQ-033</t>
        </is>
      </c>
      <c r="B34" s="3" t="inlineStr">
        <is>
          <t>Scope</t>
        </is>
      </c>
      <c r="C34" s="3" t="inlineStr">
        <is>
          <t>Existing dormant AR files in mobile/rn shall remain in place and untouched.</t>
        </is>
      </c>
      <c r="D34" s="3" t="inlineStr">
        <is>
          <t>Critical</t>
        </is>
      </c>
      <c r="E34" s="3" t="inlineStr">
        <is>
          <t>Must</t>
        </is>
      </c>
      <c r="F34" s="3" t="inlineStr">
        <is>
          <t>Not Started</t>
        </is>
      </c>
      <c r="G34" s="3" t="b">
        <v>0</v>
      </c>
      <c r="H34" s="3" t="inlineStr">
        <is>
          <t>Git diff scope audit</t>
        </is>
      </c>
      <c r="I34" s="3" t="inlineStr">
        <is>
          <t>11.0</t>
        </is>
      </c>
      <c r="J34" s="3" t="inlineStr"/>
    </row>
    <row r="35" ht="42" customHeight="1">
      <c r="A35" s="4" t="inlineStr">
        <is>
          <t>REQ-034</t>
        </is>
      </c>
      <c r="B35" s="4" t="inlineStr">
        <is>
          <t>Phase Gate</t>
        </is>
      </c>
      <c r="C35" s="4" t="inlineStr">
        <is>
          <t>UI screen implementation shall not begin until M3 foundation sign-off is recorded.</t>
        </is>
      </c>
      <c r="D35" s="4" t="inlineStr">
        <is>
          <t>Critical</t>
        </is>
      </c>
      <c r="E35" s="4" t="inlineStr">
        <is>
          <t>Must</t>
        </is>
      </c>
      <c r="F35" s="4" t="inlineStr">
        <is>
          <t>Not Started</t>
        </is>
      </c>
      <c r="G35" s="4" t="b">
        <v>0</v>
      </c>
      <c r="H35" s="4" t="inlineStr">
        <is>
          <t>M3 Sign_Off is TRUE before WBS 5.0-8.0 starts</t>
        </is>
      </c>
      <c r="I35" s="4" t="inlineStr">
        <is>
          <t>4.0</t>
        </is>
      </c>
      <c r="J35" s="4" t="inlineStr"/>
    </row>
    <row r="36" ht="42" customHeight="1">
      <c r="A36" s="3" t="inlineStr">
        <is>
          <t>REQ-035</t>
        </is>
      </c>
      <c r="B36" s="3" t="inlineStr">
        <is>
          <t>Phase Gate</t>
        </is>
      </c>
      <c r="C36" s="3" t="inlineStr">
        <is>
          <t>Final polish shall not begin until M7 integration sign-off is recorded.</t>
        </is>
      </c>
      <c r="D36" s="3" t="inlineStr">
        <is>
          <t>Critical</t>
        </is>
      </c>
      <c r="E36" s="3" t="inlineStr">
        <is>
          <t>Must</t>
        </is>
      </c>
      <c r="F36" s="3" t="inlineStr">
        <is>
          <t>Not Started</t>
        </is>
      </c>
      <c r="G36" s="3" t="b">
        <v>0</v>
      </c>
      <c r="H36" s="3" t="inlineStr">
        <is>
          <t>M7 Sign_Off is TRUE before WBS 11.0 starts</t>
        </is>
      </c>
      <c r="I36" s="3" t="inlineStr">
        <is>
          <t>10.0</t>
        </is>
      </c>
      <c r="J36" s="3" t="inlineStr"/>
    </row>
    <row r="37" ht="42" customHeight="1">
      <c r="A37" s="4" t="inlineStr">
        <is>
          <t>REQ-036</t>
        </is>
      </c>
      <c r="B37" s="4" t="inlineStr">
        <is>
          <t>Phase Gate</t>
        </is>
      </c>
      <c r="C37" s="4" t="inlineStr">
        <is>
          <t>Release readiness shall require M8 iOS smoke sign-off.</t>
        </is>
      </c>
      <c r="D37" s="4" t="inlineStr">
        <is>
          <t>Critical</t>
        </is>
      </c>
      <c r="E37" s="4" t="inlineStr">
        <is>
          <t>Must</t>
        </is>
      </c>
      <c r="F37" s="4" t="inlineStr">
        <is>
          <t>Not Started</t>
        </is>
      </c>
      <c r="G37" s="4" t="b">
        <v>0</v>
      </c>
      <c r="H37" s="4" t="inlineStr">
        <is>
          <t>M8 Sign_Off is TRUE before M9</t>
        </is>
      </c>
      <c r="I37" s="4" t="inlineStr">
        <is>
          <t>11.0</t>
        </is>
      </c>
      <c r="J37" s="4" t="inlineStr"/>
    </row>
    <row r="38">
      <c r="A38" t="inlineStr">
        <is>
          <t>REQ-CLAY-001</t>
        </is>
      </c>
      <c r="B38" t="inlineStr">
        <is>
          <t>Design</t>
        </is>
      </c>
      <c r="C38" t="inlineStr">
        <is>
          <t>All new UI screens MUST use existing claymorphic components (ClayCard, ClayButton, ClayProgressBar, ProgressTracker) and the tokens from mobile/rn/src/design/tokens.ts. No new visual styles — no flat/glassmorphism/material defaults, no raw hex colors, no raw inline shadows, no new font families, no new shadow presets.</t>
        </is>
      </c>
      <c r="D38" t="inlineStr">
        <is>
          <t>Critical</t>
        </is>
      </c>
      <c r="E38" t="inlineStr">
        <is>
          <t>Must</t>
        </is>
      </c>
      <c r="F38" t="inlineStr">
        <is>
          <t>Not Started</t>
        </is>
      </c>
      <c r="G38" t="b">
        <v>0</v>
      </c>
      <c r="H38" t="inlineStr">
        <is>
          <t>Reviewer §12 of the RN migration plan; rg -n "'#[0-9a-fA-F]{3,6}'" mobile/rn/src returns only allowed files</t>
        </is>
      </c>
      <c r="I38" t="inlineStr">
        <is>
          <t>2.0</t>
        </is>
      </c>
      <c r="J38" t="inlineStr">
        <is>
          <t>WBS 2.0 token extension merged; Rule-0 grep passes on every PR</t>
        </is>
      </c>
    </row>
  </sheetData>
  <autoFilter ref="A1:J37"/>
  <conditionalFormatting sqref="D2:D37">
    <cfRule type="expression" priority="1" dxfId="1">
      <formula>D2="Critical"</formula>
    </cfRule>
    <cfRule type="expression" priority="2" dxfId="4">
      <formula>D2="High"</formula>
    </cfRule>
    <cfRule type="expression" priority="3" dxfId="2">
      <formula>D2="Medium"</formula>
    </cfRule>
    <cfRule type="expression" priority="4" dxfId="0">
      <formula>D2="Low"</formula>
    </cfRule>
  </conditionalFormatting>
  <conditionalFormatting sqref="F2:F37">
    <cfRule type="expression" priority="5" dxfId="0">
      <formula>F2="Done"</formula>
    </cfRule>
    <cfRule type="expression" priority="6" dxfId="2">
      <formula>F2="In Progress"</formula>
    </cfRule>
    <cfRule type="expression" priority="7" dxfId="3">
      <formula>F2="Not Started"</formula>
    </cfRule>
    <cfRule type="expression" priority="8" dxfId="1">
      <formula>F2="Blocked"</formula>
    </cfRule>
    <cfRule type="expression" priority="9" dxfId="4">
      <formula>F2="Skipped"</formula>
    </cfRule>
  </conditionalFormatting>
  <conditionalFormatting sqref="G2:G37">
    <cfRule type="expression" priority="10" dxfId="0">
      <formula>G2=TRUE</formula>
    </cfRule>
    <cfRule type="expression" priority="11" dxfId="1">
      <formula>G2=FALSE</formula>
    </cfRule>
  </conditionalFormatting>
  <dataValidations count="4">
    <dataValidation sqref="D2:D37" showDropDown="0" showInputMessage="0" showErrorMessage="0" allowBlank="0" errorTitle="Invalid value" error="Select a value from the list." promptTitle="Tracker field" prompt="Choose a tracker value." type="list">
      <formula1>"Critical,High,Medium,Low"</formula1>
    </dataValidation>
    <dataValidation sqref="E2:E37" showDropDown="0" showInputMessage="0" showErrorMessage="0" allowBlank="0" errorTitle="Invalid value" error="Select a value from the list." promptTitle="Tracker field" prompt="Choose a tracker value." type="list">
      <formula1>"Must,Should,Could,Won't"</formula1>
    </dataValidation>
    <dataValidation sqref="F2:F37" showDropDown="0" showInputMessage="0" showErrorMessage="0" allowBlank="0" errorTitle="Invalid value" error="Select a value from the list." promptTitle="Tracker field" prompt="Choose a tracker value." type="list">
      <formula1>"Done,In Progress,Not Started,Blocked,Skipped"</formula1>
    </dataValidation>
    <dataValidation sqref="G2:G37" showDropDown="0" showInputMessage="0" showErrorMessage="0" allowBlank="0" errorTitle="Invalid value" error="Select a value from the list." promptTitle="Tracker field" prompt="Choose a tracker value." type="list">
      <formula1>"TRUE,FALSE"</formula1>
    </dataValidation>
  </dataValidations>
  <pageMargins left="0.75" right="0.75" top="1" bottom="1" header="0.5" footer="0.5"/>
  <pageSetup orientation="landscape" fitToHeight="0" fitToWidth="1"/>
  <headerFooter>
    <oddHeader/>
    <oddFooter>&amp;CCourses + Pets RN Migration | Internal Planning&amp;RPage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2994A"/>
    <outlinePr summaryBelow="1" summaryRight="1"/>
    <pageSetUpPr fitToPage="1"/>
  </sheetPr>
  <dimension ref="A1:M12"/>
  <sheetViews>
    <sheetView showGridLines="0" zoomScale="9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4" customWidth="1" min="2" max="2"/>
    <col width="72" customWidth="1" min="3" max="3"/>
    <col width="22" customWidth="1" min="4" max="4"/>
    <col width="13" customWidth="1" min="5" max="5"/>
    <col width="13" customWidth="1" min="6" max="6"/>
    <col width="14" customWidth="1" min="7" max="7"/>
    <col width="14" customWidth="1" min="8" max="8"/>
    <col width="10" customWidth="1" min="9" max="9"/>
    <col width="16" customWidth="1" min="10" max="10"/>
    <col width="19" customWidth="1" min="11" max="11"/>
    <col width="12" customWidth="1" min="12" max="12"/>
    <col width="55" customWidth="1" min="13" max="13"/>
  </cols>
  <sheetData>
    <row r="1" ht="30" customHeight="1">
      <c r="A1" s="2" t="inlineStr">
        <is>
          <t>WBS_ID</t>
        </is>
      </c>
      <c r="B1" s="2" t="inlineStr">
        <is>
          <t>Task_Name</t>
        </is>
      </c>
      <c r="C1" s="2" t="inlineStr">
        <is>
          <t>Description</t>
        </is>
      </c>
      <c r="D1" s="2" t="inlineStr">
        <is>
          <t>Phase</t>
        </is>
      </c>
      <c r="E1" s="2" t="inlineStr">
        <is>
          <t>Priority</t>
        </is>
      </c>
      <c r="F1" s="2" t="inlineStr">
        <is>
          <t>Effort_Hours</t>
        </is>
      </c>
      <c r="G1" s="2" t="inlineStr">
        <is>
          <t>Start_Date</t>
        </is>
      </c>
      <c r="H1" s="2" t="inlineStr">
        <is>
          <t>End_Date</t>
        </is>
      </c>
      <c r="I1" s="2" t="inlineStr">
        <is>
          <t>Done</t>
        </is>
      </c>
      <c r="J1" s="2" t="inlineStr">
        <is>
          <t>Status</t>
        </is>
      </c>
      <c r="K1" s="2" t="inlineStr">
        <is>
          <t>Predecessors</t>
        </is>
      </c>
      <c r="L1" s="2" t="inlineStr">
        <is>
          <t>Milestone</t>
        </is>
      </c>
      <c r="M1" s="2" t="inlineStr">
        <is>
          <t>Blockers / Notes</t>
        </is>
      </c>
    </row>
    <row r="2" ht="56" customHeight="1">
      <c r="A2" s="3" t="inlineStr">
        <is>
          <t>1.0</t>
        </is>
      </c>
      <c r="B2" s="3" t="inlineStr">
        <is>
          <t>Auth &amp; App State wiring</t>
        </is>
      </c>
      <c r="C2" s="3" t="inlineStr">
        <is>
          <t>Wire AuthScreen to app state, restore sessions, and persist tokens with expo-secure-store.</t>
        </is>
      </c>
      <c r="D2" s="9" t="inlineStr">
        <is>
          <t>Foundations</t>
        </is>
      </c>
      <c r="E2" s="3" t="inlineStr">
        <is>
          <t>Critical</t>
        </is>
      </c>
      <c r="F2" s="3" t="n">
        <v>12</v>
      </c>
      <c r="G2" s="6" t="n">
        <v>46228</v>
      </c>
      <c r="H2" s="6" t="n">
        <v>46230</v>
      </c>
      <c r="I2" s="3" t="b">
        <v>0</v>
      </c>
      <c r="J2" s="3" t="inlineStr">
        <is>
          <t>Not Started</t>
        </is>
      </c>
      <c r="K2" s="3" t="inlineStr"/>
      <c r="L2" s="3" t="inlineStr">
        <is>
          <t>M1</t>
        </is>
      </c>
      <c r="M2" s="3" t="inlineStr">
        <is>
          <t>U-1..U-10 captured 2026-07-26. U-1: https://edu-platform-api-do20.onrender.com. U-7: Mac Day Aug 9. See docs/migration/m0-user-inputs.md</t>
        </is>
      </c>
    </row>
    <row r="3" ht="56" customHeight="1">
      <c r="A3" s="4" t="inlineStr">
        <is>
          <t>2.0</t>
        </is>
      </c>
      <c r="B3" s="4" t="inlineStr">
        <is>
          <t>Extend tokens with rarity + stage colors from web (claymorphic parity)</t>
        </is>
      </c>
      <c r="C3" s="4" t="inlineStr">
        <is>
          <t>Port BRAND, RARITY_COLORS (common/rare/epic/legendary), STAGE_GRADIENTS + EVOLUTION_EMOJI (baby/child/teen/adult), CATEGORY_COLORS (home_family/nature/school_food/animals), CARE_STAT_COLORS, CLAY_TONE_SHADOWS, MOTION, CLAYMORPHIC_SPRINGS, and withOpacity into mobile/rn/src/design/tokens.ts. Reuse ClayCard/ClayButton/ClayProgressBar/ProgressTracker — no new visual primitives, no flat/glassmorphism/material defaults. Tokens mirror frontend-web/src/design-tokens/claymorphic.ts.</t>
        </is>
      </c>
      <c r="D3" s="9" t="inlineStr">
        <is>
          <t>Foundations</t>
        </is>
      </c>
      <c r="E3" s="4" t="inlineStr">
        <is>
          <t>Critical</t>
        </is>
      </c>
      <c r="F3" s="4" t="n">
        <v>12</v>
      </c>
      <c r="G3" s="7" t="n">
        <v>46230</v>
      </c>
      <c r="H3" s="7" t="n">
        <v>46231</v>
      </c>
      <c r="I3" s="4" t="b">
        <v>0</v>
      </c>
      <c r="J3" s="4" t="inlineStr">
        <is>
          <t>Not Started</t>
        </is>
      </c>
      <c r="K3" s="4" t="inlineStr">
        <is>
          <t>1.0</t>
        </is>
      </c>
      <c r="L3" s="4" t="inlineStr">
        <is>
          <t>M2</t>
        </is>
      </c>
      <c r="M3" s="4" t="inlineStr">
        <is>
          <t>Adds REQ-CLAY-001 enforcement. Reviewer §12 of the plan runs Rule-0 (no raw hex outside tokens.ts + clay primitives). Course and pet themes remain accessible.</t>
        </is>
      </c>
    </row>
    <row r="4" ht="56" customHeight="1">
      <c r="A4" s="3" t="inlineStr">
        <is>
          <t>3.0</t>
        </is>
      </c>
      <c r="B4" s="3" t="inlineStr">
        <is>
          <t>i18n Setup (en + vi)</t>
        </is>
      </c>
      <c r="C4" s="3" t="inlineStr">
        <is>
          <t>Create English and Vietnamese catalogs and route every new user-visible string through i18n.</t>
        </is>
      </c>
      <c r="D4" s="9" t="inlineStr">
        <is>
          <t>Foundations</t>
        </is>
      </c>
      <c r="E4" s="3" t="inlineStr">
        <is>
          <t>Critical</t>
        </is>
      </c>
      <c r="F4" s="3" t="n">
        <v>12</v>
      </c>
      <c r="G4" s="6" t="n">
        <v>46231</v>
      </c>
      <c r="H4" s="6" t="n">
        <v>46232</v>
      </c>
      <c r="I4" s="3" t="b">
        <v>0</v>
      </c>
      <c r="J4" s="3" t="inlineStr">
        <is>
          <t>Not Started</t>
        </is>
      </c>
      <c r="K4" s="3" t="inlineStr">
        <is>
          <t>1.0</t>
        </is>
      </c>
      <c r="L4" s="3" t="inlineStr">
        <is>
          <t>M2</t>
        </is>
      </c>
      <c r="M4" s="3" t="inlineStr">
        <is>
          <t>No hardcoded screen copy</t>
        </is>
      </c>
    </row>
    <row r="5" ht="56" customHeight="1">
      <c r="A5" s="4" t="inlineStr">
        <is>
          <t>4.0</t>
        </is>
      </c>
      <c r="B5" s="4" t="inlineStr">
        <is>
          <t>Types + Service Layer (port course, lesson, pet, gamification types/services)</t>
        </is>
      </c>
      <c r="C5" s="4" t="inlineStr">
        <is>
          <t>Port slim non-AR mobile types, authenticated services, hooks, environment-based API URL, and error handling.</t>
        </is>
      </c>
      <c r="D5" s="9" t="inlineStr">
        <is>
          <t>Foundations</t>
        </is>
      </c>
      <c r="E5" s="4" t="inlineStr">
        <is>
          <t>Critical</t>
        </is>
      </c>
      <c r="F5" s="4" t="n">
        <v>28</v>
      </c>
      <c r="G5" s="7" t="n">
        <v>46231</v>
      </c>
      <c r="H5" s="7" t="n">
        <v>46234</v>
      </c>
      <c r="I5" s="4" t="b">
        <v>0</v>
      </c>
      <c r="J5" s="4" t="inlineStr">
        <is>
          <t>Not Started</t>
        </is>
      </c>
      <c r="K5" s="4" t="inlineStr">
        <is>
          <t>1.0</t>
        </is>
      </c>
      <c r="L5" s="4" t="inlineStr">
        <is>
          <t>M3</t>
        </is>
      </c>
      <c r="M5" s="4" t="inlineStr">
        <is>
          <t>PHASE GATE: approve contracts before UI screens</t>
        </is>
      </c>
    </row>
    <row r="6" ht="56" customHeight="1">
      <c r="A6" s="3" t="inlineStr">
        <is>
          <t>5.0</t>
        </is>
      </c>
      <c r="B6" s="3" t="inlineStr">
        <is>
          <t>Course List Screen</t>
        </is>
      </c>
      <c r="C6" s="3" t="inlineStr">
        <is>
          <t>Build responsive course catalog, progress states, loading, empty, error, and retry experiences using RN primitives.</t>
        </is>
      </c>
      <c r="D6" s="10" t="inlineStr">
        <is>
          <t>Course Experience</t>
        </is>
      </c>
      <c r="E6" s="3" t="inlineStr">
        <is>
          <t>Critical</t>
        </is>
      </c>
      <c r="F6" s="3" t="n">
        <v>20</v>
      </c>
      <c r="G6" s="6" t="n">
        <v>46237</v>
      </c>
      <c r="H6" s="6" t="n">
        <v>46239</v>
      </c>
      <c r="I6" s="3" t="b">
        <v>0</v>
      </c>
      <c r="J6" s="3" t="inlineStr">
        <is>
          <t>Not Started</t>
        </is>
      </c>
      <c r="K6" s="3" t="inlineStr">
        <is>
          <t>2.0,3.0,4.0</t>
        </is>
      </c>
      <c r="L6" s="3" t="inlineStr">
        <is>
          <t>M4</t>
        </is>
      </c>
      <c r="M6" s="3" t="inlineStr">
        <is>
          <t>Starts only after M3 sign-off</t>
        </is>
      </c>
    </row>
    <row r="7" ht="56" customHeight="1">
      <c r="A7" s="4" t="inlineStr">
        <is>
          <t>6.0</t>
        </is>
      </c>
      <c r="B7" s="4" t="inlineStr">
        <is>
          <t>Course Detail Screen</t>
        </is>
      </c>
      <c r="C7" s="4" t="inlineStr">
        <is>
          <t>Show course metadata, ordered lessons, progress, and navigation into the lesson player.</t>
        </is>
      </c>
      <c r="D7" s="10" t="inlineStr">
        <is>
          <t>Course Experience</t>
        </is>
      </c>
      <c r="E7" s="4" t="inlineStr">
        <is>
          <t>Critical</t>
        </is>
      </c>
      <c r="F7" s="4" t="n">
        <v>18</v>
      </c>
      <c r="G7" s="7" t="n">
        <v>46239</v>
      </c>
      <c r="H7" s="7" t="n">
        <v>46241</v>
      </c>
      <c r="I7" s="4" t="b">
        <v>0</v>
      </c>
      <c r="J7" s="4" t="inlineStr">
        <is>
          <t>Not Started</t>
        </is>
      </c>
      <c r="K7" s="4" t="inlineStr">
        <is>
          <t>5.0</t>
        </is>
      </c>
      <c r="L7" s="4" t="inlineStr">
        <is>
          <t>M5</t>
        </is>
      </c>
      <c r="M7" s="4" t="inlineStr">
        <is>
          <t>Authenticated course detail flow</t>
        </is>
      </c>
    </row>
    <row r="8" ht="56" customHeight="1">
      <c r="A8" s="3" t="inlineStr">
        <is>
          <t>7.0</t>
        </is>
      </c>
      <c r="B8" s="3" t="inlineStr">
        <is>
          <t>Lesson Player Screen (without AR — flashcard-only or quiz-only)</t>
        </is>
      </c>
      <c r="C8" s="3" t="inlineStr">
        <is>
          <t>Run non-AR lesson content, completion, and retry flows; AR references show an unavailable placeholder and never open Unity.</t>
        </is>
      </c>
      <c r="D8" s="10" t="inlineStr">
        <is>
          <t>Course Experience</t>
        </is>
      </c>
      <c r="E8" s="3" t="inlineStr">
        <is>
          <t>Critical</t>
        </is>
      </c>
      <c r="F8" s="3" t="n">
        <v>24</v>
      </c>
      <c r="G8" s="6" t="n">
        <v>46241</v>
      </c>
      <c r="H8" s="6" t="n">
        <v>46245</v>
      </c>
      <c r="I8" s="3" t="b">
        <v>0</v>
      </c>
      <c r="J8" s="3" t="inlineStr">
        <is>
          <t>Not Started</t>
        </is>
      </c>
      <c r="K8" s="3" t="inlineStr">
        <is>
          <t>6.0</t>
        </is>
      </c>
      <c r="L8" s="3" t="inlineStr">
        <is>
          <t>M5</t>
        </is>
      </c>
      <c r="M8" s="3" t="inlineStr">
        <is>
          <t>NO UnityView, bridge events, or AR session hooks</t>
        </is>
      </c>
    </row>
    <row r="9" ht="56" customHeight="1">
      <c r="A9" s="4" t="inlineStr">
        <is>
          <t>8.0</t>
        </is>
      </c>
      <c r="B9" s="4" t="inlineStr">
        <is>
          <t>Pet Hub Screen + components</t>
        </is>
      </c>
      <c r="C9" s="4" t="inlineStr">
        <is>
          <t>Build PetsScreen, PetCard, PetGrid, PetSelector, and unlock/evolution modal with RN-native interaction patterns.</t>
        </is>
      </c>
      <c r="D9" s="11" t="inlineStr">
        <is>
          <t>Pet Experience</t>
        </is>
      </c>
      <c r="E9" s="4" t="inlineStr">
        <is>
          <t>Critical</t>
        </is>
      </c>
      <c r="F9" s="4" t="n">
        <v>28</v>
      </c>
      <c r="G9" s="7" t="n">
        <v>46240</v>
      </c>
      <c r="H9" s="7" t="n">
        <v>46246</v>
      </c>
      <c r="I9" s="4" t="b">
        <v>0</v>
      </c>
      <c r="J9" s="4" t="inlineStr">
        <is>
          <t>Not Started</t>
        </is>
      </c>
      <c r="K9" s="4" t="inlineStr">
        <is>
          <t>2.0,3.0,4.0</t>
        </is>
      </c>
      <c r="L9" s="4" t="inlineStr">
        <is>
          <t>M6</t>
        </is>
      </c>
      <c r="M9" s="4" t="inlineStr">
        <is>
          <t>Exclude 3D and AR pet viewers</t>
        </is>
      </c>
    </row>
    <row r="10" ht="56" customHeight="1">
      <c r="A10" s="3" t="inlineStr">
        <is>
          <t>9.0</t>
        </is>
      </c>
      <c r="B10" s="3" t="inlineStr">
        <is>
          <t>Gamification integration (XP bar, streak, pet unlocks)</t>
        </is>
      </c>
      <c r="C10" s="3" t="inlineStr">
        <is>
          <t>Connect XP, streak, active pet, and unlock conditions; refresh state after relevant course and pet actions.</t>
        </is>
      </c>
      <c r="D10" s="12" t="inlineStr">
        <is>
          <t>Integration</t>
        </is>
      </c>
      <c r="E10" s="3" t="inlineStr">
        <is>
          <t>High</t>
        </is>
      </c>
      <c r="F10" s="3" t="n">
        <v>20</v>
      </c>
      <c r="G10" s="6" t="n">
        <v>46246</v>
      </c>
      <c r="H10" s="6" t="n">
        <v>46248</v>
      </c>
      <c r="I10" s="3" t="b">
        <v>0</v>
      </c>
      <c r="J10" s="3" t="inlineStr">
        <is>
          <t>Not Started</t>
        </is>
      </c>
      <c r="K10" s="3" t="inlineStr">
        <is>
          <t>7.0,8.0</t>
        </is>
      </c>
      <c r="L10" s="3" t="inlineStr">
        <is>
          <t>M7</t>
        </is>
      </c>
      <c r="M10" s="3" t="inlineStr">
        <is>
          <t>Contract-derived user identity only</t>
        </is>
      </c>
    </row>
    <row r="11" ht="56" customHeight="1">
      <c r="A11" s="4" t="inlineStr">
        <is>
          <t>10.0</t>
        </is>
      </c>
      <c r="B11" s="4" t="inlineStr">
        <is>
          <t>Navigation refactor (bottom tabs: Home / Courses / Pets / Profile placeholder)</t>
        </is>
      </c>
      <c r="C11" s="4" t="inlineStr">
        <is>
          <t>Add authenticated bottom tabs, preserve existing routes, and keep the Profile tab as a localized placeholder.</t>
        </is>
      </c>
      <c r="D11" s="12" t="inlineStr">
        <is>
          <t>Integration</t>
        </is>
      </c>
      <c r="E11" s="4" t="inlineStr">
        <is>
          <t>Critical</t>
        </is>
      </c>
      <c r="F11" s="4" t="n">
        <v>16</v>
      </c>
      <c r="G11" s="7" t="n">
        <v>46248</v>
      </c>
      <c r="H11" s="7" t="n">
        <v>46251</v>
      </c>
      <c r="I11" s="4" t="b">
        <v>0</v>
      </c>
      <c r="J11" s="4" t="inlineStr">
        <is>
          <t>Not Started</t>
        </is>
      </c>
      <c r="K11" s="4" t="inlineStr">
        <is>
          <t>5.0,8.0,9.0</t>
        </is>
      </c>
      <c r="L11" s="4" t="inlineStr">
        <is>
          <t>M7</t>
        </is>
      </c>
      <c r="M11" s="4" t="inlineStr">
        <is>
          <t>PHASE GATE: feature-complete review</t>
        </is>
      </c>
    </row>
    <row r="12" ht="56" customHeight="1">
      <c r="A12" s="3" t="inlineStr">
        <is>
          <t>11.0</t>
        </is>
      </c>
      <c r="B12" s="3" t="inlineStr">
        <is>
          <t>Polish + iOS smoke test</t>
        </is>
      </c>
      <c r="C12" s="3" t="inlineStr">
        <is>
          <t>Run type checks, reviewer pass, manual iOS-only smoke checklist, accessibility checks, and release-readiness sign-off.</t>
        </is>
      </c>
      <c r="D12" s="13" t="inlineStr">
        <is>
          <t>Polish &amp; Test</t>
        </is>
      </c>
      <c r="E12" s="3" t="inlineStr">
        <is>
          <t>Critical</t>
        </is>
      </c>
      <c r="F12" s="3" t="n">
        <v>24</v>
      </c>
      <c r="G12" s="6" t="n">
        <v>46252</v>
      </c>
      <c r="H12" s="6" t="n">
        <v>46254</v>
      </c>
      <c r="I12" s="3" t="b">
        <v>0</v>
      </c>
      <c r="J12" s="3" t="inlineStr">
        <is>
          <t>Not Started</t>
        </is>
      </c>
      <c r="K12" s="3" t="inlineStr">
        <is>
          <t>10.0</t>
        </is>
      </c>
      <c r="L12" s="3" t="inlineStr">
        <is>
          <t>M9</t>
        </is>
      </c>
      <c r="M12" s="3" t="inlineStr">
        <is>
          <t>NO Android validation; no Unity or AR core changes</t>
        </is>
      </c>
    </row>
  </sheetData>
  <autoFilter ref="A1:M12"/>
  <conditionalFormatting sqref="E2:E12">
    <cfRule type="expression" priority="1" dxfId="1">
      <formula>E2="Critical"</formula>
    </cfRule>
    <cfRule type="expression" priority="2" dxfId="4">
      <formula>E2="High"</formula>
    </cfRule>
    <cfRule type="expression" priority="3" dxfId="2">
      <formula>E2="Medium"</formula>
    </cfRule>
    <cfRule type="expression" priority="4" dxfId="0">
      <formula>E2="Low"</formula>
    </cfRule>
  </conditionalFormatting>
  <conditionalFormatting sqref="I2:I12">
    <cfRule type="expression" priority="5" dxfId="0">
      <formula>I2=TRUE</formula>
    </cfRule>
    <cfRule type="expression" priority="6" dxfId="1">
      <formula>I2=FALSE</formula>
    </cfRule>
  </conditionalFormatting>
  <conditionalFormatting sqref="J2:J12">
    <cfRule type="expression" priority="7" dxfId="0">
      <formula>J2="Done"</formula>
    </cfRule>
    <cfRule type="expression" priority="8" dxfId="2">
      <formula>J2="In Progress"</formula>
    </cfRule>
    <cfRule type="expression" priority="9" dxfId="3">
      <formula>J2="Not Started"</formula>
    </cfRule>
    <cfRule type="expression" priority="10" dxfId="1">
      <formula>J2="Blocked"</formula>
    </cfRule>
    <cfRule type="expression" priority="11" dxfId="4">
      <formula>J2="Skipped"</formula>
    </cfRule>
  </conditionalFormatting>
  <dataValidations count="3">
    <dataValidation sqref="E2:E12" showDropDown="0" showInputMessage="0" showErrorMessage="0" allowBlank="0" errorTitle="Invalid value" error="Select a value from the list." promptTitle="Tracker field" prompt="Choose a tracker value." type="list">
      <formula1>"Critical,High,Medium,Low"</formula1>
    </dataValidation>
    <dataValidation sqref="I2:I12" showDropDown="0" showInputMessage="0" showErrorMessage="0" allowBlank="0" errorTitle="Invalid value" error="Select a value from the list." promptTitle="Tracker field" prompt="Choose a tracker value." type="list">
      <formula1>"TRUE,FALSE"</formula1>
    </dataValidation>
    <dataValidation sqref="J2:J12" showDropDown="0" showInputMessage="0" showErrorMessage="0" allowBlank="0" errorTitle="Invalid value" error="Select a value from the list." promptTitle="Tracker field" prompt="Choose a tracker value." type="list">
      <formula1>"Done,In Progress,Not Started,Blocked,Skipped"</formula1>
    </dataValidation>
  </dataValidations>
  <pageMargins left="0.75" right="0.75" top="1" bottom="1" header="0.5" footer="0.5"/>
  <pageSetup orientation="landscape" fitToHeight="0" fitToWidth="1"/>
  <headerFooter>
    <oddHeader/>
    <oddFooter>&amp;CCourses + Pets RN Migration | Internal Planning&amp;RPage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F80ED"/>
    <outlinePr summaryBelow="1" summaryRight="1"/>
    <pageSetUpPr fitToPage="1"/>
  </sheetPr>
  <dimension ref="A1:K2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22" customWidth="1" min="4" max="4"/>
    <col width="76" customWidth="1" min="5" max="5"/>
    <col width="16" customWidth="1" min="6" max="6"/>
    <col width="10" customWidth="1" min="7" max="7"/>
    <col width="13" customWidth="1" min="8" max="8"/>
    <col width="28" customWidth="1" min="9" max="9"/>
    <col width="16" customWidth="1" min="10" max="10"/>
    <col width="40" customWidth="1" min="11" max="11"/>
  </cols>
  <sheetData>
    <row r="1" ht="30" customHeight="1">
      <c r="A1" s="2" t="inlineStr">
        <is>
          <t>Day</t>
        </is>
      </c>
      <c r="B1" s="2" t="inlineStr">
        <is>
          <t>Date</t>
        </is>
      </c>
      <c r="C1" s="2" t="inlineStr">
        <is>
          <t>Weekday</t>
        </is>
      </c>
      <c r="D1" s="2" t="inlineStr">
        <is>
          <t>Phase / Focus</t>
        </is>
      </c>
      <c r="E1" s="2" t="inlineStr">
        <is>
          <t>Daily Deliverables</t>
        </is>
      </c>
      <c r="F1" s="2" t="inlineStr">
        <is>
          <t>WBS</t>
        </is>
      </c>
      <c r="G1" s="2" t="inlineStr">
        <is>
          <t>Done</t>
        </is>
      </c>
      <c r="H1" s="2" t="inlineStr">
        <is>
          <t>% Complete</t>
        </is>
      </c>
      <c r="I1" s="2" t="inlineStr">
        <is>
          <t>Blockers</t>
        </is>
      </c>
      <c r="J1" s="2" t="inlineStr">
        <is>
          <t>Milestone / Gate</t>
        </is>
      </c>
      <c r="K1" s="2" t="inlineStr">
        <is>
          <t>Exit Notes</t>
        </is>
      </c>
    </row>
    <row r="2" ht="48" customHeight="1">
      <c r="A2" s="3" t="n">
        <v>1</v>
      </c>
      <c r="B2" s="6" t="n">
        <v>46228</v>
      </c>
      <c r="C2" s="3" t="inlineStr">
        <is>
          <t>Saturday</t>
        </is>
      </c>
      <c r="D2" s="3" t="inlineStr">
        <is>
          <t>Setup &amp; Plan</t>
        </is>
      </c>
      <c r="E2" s="3" t="inlineStr">
        <is>
          <t>Lock scope, inspect reference tracker, baseline contracts, and confirm NO Unity/AR core and iOS-only constraints.</t>
        </is>
      </c>
      <c r="F2" s="3" t="inlineStr">
        <is>
          <t>1.0</t>
        </is>
      </c>
      <c r="G2" s="3" t="b">
        <v>1</v>
      </c>
      <c r="H2" s="8" t="n">
        <v>100</v>
      </c>
      <c r="I2" s="3" t="inlineStr">
        <is>
          <t>U-1..U-10 captured; U-9/U-10 deferred</t>
        </is>
      </c>
      <c r="J2" s="3" t="inlineStr">
        <is>
          <t>M0</t>
        </is>
      </c>
      <c r="K2" s="3" t="inlineStr">
        <is>
          <t>M0 captured 2026-07-26. U-1: https://edu-platform-api-do20.onrender.com | U-2: no API key (open) | U-7: Mac Day Aug 9 | U-6: iOS 26.5 (beta). See docs/migration/m0-user-inputs.md. U-9 (Edge Functions) deferred: plan uses FastAPI only.</t>
        </is>
      </c>
    </row>
    <row r="3" ht="48" customHeight="1">
      <c r="A3" s="4" t="n">
        <v>2</v>
      </c>
      <c r="B3" s="7" t="n">
        <v>46230</v>
      </c>
      <c r="C3" s="4" t="inlineStr">
        <is>
          <t>Monday</t>
        </is>
      </c>
      <c r="D3" s="4" t="inlineStr">
        <is>
          <t>Auth &amp; App State</t>
        </is>
      </c>
      <c r="E3" s="4" t="inlineStr">
        <is>
          <t>Wire login/logout/session restoration and verify secure token lifecycle.</t>
        </is>
      </c>
      <c r="F3" s="4" t="inlineStr">
        <is>
          <t>1.0,2.0</t>
        </is>
      </c>
      <c r="G3" s="4" t="b">
        <v>0</v>
      </c>
      <c r="H3" s="5" t="n">
        <v>0</v>
      </c>
      <c r="I3" s="4" t="inlineStr"/>
      <c r="J3" s="4" t="inlineStr">
        <is>
          <t>M1</t>
        </is>
      </c>
      <c r="K3" s="4" t="inlineStr">
        <is>
          <t>M1 sign-off.</t>
        </is>
      </c>
    </row>
    <row r="4" ht="48" customHeight="1">
      <c r="A4" s="3" t="n">
        <v>3</v>
      </c>
      <c r="B4" s="6" t="n">
        <v>46231</v>
      </c>
      <c r="C4" s="3" t="inlineStr">
        <is>
          <t>Tuesday</t>
        </is>
      </c>
      <c r="D4" s="3" t="inlineStr">
        <is>
          <t>Design + i18n</t>
        </is>
      </c>
      <c r="E4" s="3" t="inlineStr">
        <is>
          <t>Extend course/pet clay tokens and scaffold en/vi catalogs.</t>
        </is>
      </c>
      <c r="F4" s="3" t="inlineStr">
        <is>
          <t>2.0,3.0,4.0</t>
        </is>
      </c>
      <c r="G4" s="3" t="b">
        <v>0</v>
      </c>
      <c r="H4" s="8" t="n">
        <v>0</v>
      </c>
      <c r="I4" s="3" t="inlineStr"/>
      <c r="J4" s="3" t="inlineStr">
        <is>
          <t>M2</t>
        </is>
      </c>
      <c r="K4" s="3" t="inlineStr">
        <is>
          <t>Review contrast and key naming.</t>
        </is>
      </c>
    </row>
    <row r="5" ht="48" customHeight="1">
      <c r="A5" s="4" t="n">
        <v>4</v>
      </c>
      <c r="B5" s="7" t="n">
        <v>46232</v>
      </c>
      <c r="C5" s="4" t="inlineStr">
        <is>
          <t>Wednesday</t>
        </is>
      </c>
      <c r="D5" s="4" t="inlineStr">
        <is>
          <t>Design + i18n</t>
        </is>
      </c>
      <c r="E5" s="4" t="inlineStr">
        <is>
          <t>Complete bilingual foundation and approve reusable visual patterns. Run Reviewer §12 Rule-0 grep and claymorphic compliance checks on the new tokens.</t>
        </is>
      </c>
      <c r="F5" s="4" t="inlineStr">
        <is>
          <t>3.0,4.0</t>
        </is>
      </c>
      <c r="G5" s="4" t="b">
        <v>0</v>
      </c>
      <c r="H5" s="5" t="n">
        <v>0</v>
      </c>
      <c r="I5" s="4" t="inlineStr"/>
      <c r="J5" s="4" t="inlineStr">
        <is>
          <t>M2</t>
        </is>
      </c>
      <c r="K5" s="4" t="inlineStr">
        <is>
          <t>M2 sign-off. Designer + Reviewer sign-off on RARITY_COLORS / STAGE_GRADIENTS / CATEGORY_COLORS parity vs web.</t>
        </is>
      </c>
    </row>
    <row r="6" ht="48" customHeight="1">
      <c r="A6" s="3" t="n">
        <v>5</v>
      </c>
      <c r="B6" s="6" t="n">
        <v>46233</v>
      </c>
      <c r="C6" s="3" t="inlineStr">
        <is>
          <t>Thursday</t>
        </is>
      </c>
      <c r="D6" s="3" t="inlineStr">
        <is>
          <t>Service Foundation</t>
        </is>
      </c>
      <c r="E6" s="3" t="inlineStr">
        <is>
          <t>Port slim course, lesson, pet, and gamification contracts and services.</t>
        </is>
      </c>
      <c r="F6" s="3" t="inlineStr">
        <is>
          <t>4.0</t>
        </is>
      </c>
      <c r="G6" s="3" t="b">
        <v>0</v>
      </c>
      <c r="H6" s="8" t="n">
        <v>0</v>
      </c>
      <c r="I6" s="3" t="inlineStr"/>
      <c r="J6" s="3" t="inlineStr">
        <is>
          <t>M3</t>
        </is>
      </c>
      <c r="K6" s="3" t="inlineStr">
        <is>
          <t>Use EXPO_PUBLIC_API_URL.</t>
        </is>
      </c>
    </row>
    <row r="7" ht="48" customHeight="1">
      <c r="A7" s="4" t="n">
        <v>6</v>
      </c>
      <c r="B7" s="7" t="n">
        <v>46234</v>
      </c>
      <c r="C7" s="4" t="inlineStr">
        <is>
          <t>Friday</t>
        </is>
      </c>
      <c r="D7" s="4" t="inlineStr">
        <is>
          <t>Foundation Gate</t>
        </is>
      </c>
      <c r="E7" s="4" t="inlineStr">
        <is>
          <t>Finish backend audit, type checks, hooks, error handling, and M3 review.</t>
        </is>
      </c>
      <c r="F7" s="4" t="inlineStr">
        <is>
          <t>4.0</t>
        </is>
      </c>
      <c r="G7" s="4" t="b">
        <v>0</v>
      </c>
      <c r="H7" s="5" t="n">
        <v>0</v>
      </c>
      <c r="I7" s="4" t="inlineStr"/>
      <c r="J7" s="4" t="inlineStr">
        <is>
          <t>M3</t>
        </is>
      </c>
      <c r="K7" s="4" t="inlineStr">
        <is>
          <t>STOP: no screens before sign-off.</t>
        </is>
      </c>
    </row>
    <row r="8" ht="48" customHeight="1">
      <c r="A8" s="3" t="n">
        <v>7</v>
      </c>
      <c r="B8" s="6" t="n">
        <v>46237</v>
      </c>
      <c r="C8" s="3" t="inlineStr">
        <is>
          <t>Monday</t>
        </is>
      </c>
      <c r="D8" s="3" t="inlineStr">
        <is>
          <t>Course Catalog</t>
        </is>
      </c>
      <c r="E8" s="3" t="inlineStr">
        <is>
          <t>Build course list loading, success, empty, error, and retry states.</t>
        </is>
      </c>
      <c r="F8" s="3" t="inlineStr">
        <is>
          <t>5.0</t>
        </is>
      </c>
      <c r="G8" s="3" t="b">
        <v>0</v>
      </c>
      <c r="H8" s="8" t="n">
        <v>0</v>
      </c>
      <c r="I8" s="3" t="inlineStr"/>
      <c r="J8" s="3" t="inlineStr">
        <is>
          <t>M4</t>
        </is>
      </c>
      <c r="K8" s="3" t="inlineStr">
        <is>
          <t>Use FlatList and stable keys.</t>
        </is>
      </c>
    </row>
    <row r="9" ht="48" customHeight="1">
      <c r="A9" s="4" t="n">
        <v>8</v>
      </c>
      <c r="B9" s="7" t="n">
        <v>46238</v>
      </c>
      <c r="C9" s="4" t="inlineStr">
        <is>
          <t>Tuesday</t>
        </is>
      </c>
      <c r="D9" s="4" t="inlineStr">
        <is>
          <t>Course Catalog</t>
        </is>
      </c>
      <c r="E9" s="4" t="inlineStr">
        <is>
          <t>Add grouping, progress, localized metadata, and navigation behavior.</t>
        </is>
      </c>
      <c r="F9" s="4" t="inlineStr">
        <is>
          <t>5.0</t>
        </is>
      </c>
      <c r="G9" s="4" t="b">
        <v>0</v>
      </c>
      <c r="H9" s="5" t="n">
        <v>0</v>
      </c>
      <c r="I9" s="4" t="inlineStr"/>
      <c r="J9" s="4" t="inlineStr">
        <is>
          <t>M4</t>
        </is>
      </c>
      <c r="K9" s="4" t="inlineStr">
        <is>
          <t>Screen review.</t>
        </is>
      </c>
    </row>
    <row r="10" ht="48" customHeight="1">
      <c r="A10" s="3" t="n">
        <v>9</v>
      </c>
      <c r="B10" s="6" t="n">
        <v>46239</v>
      </c>
      <c r="C10" s="3" t="inlineStr">
        <is>
          <t>Wednesday</t>
        </is>
      </c>
      <c r="D10" s="3" t="inlineStr">
        <is>
          <t>Course Catalog</t>
        </is>
      </c>
      <c r="E10" s="3" t="inlineStr">
        <is>
          <t>Complete course list acceptance and begin detail shell.</t>
        </is>
      </c>
      <c r="F10" s="3" t="inlineStr">
        <is>
          <t>5.0,6.0</t>
        </is>
      </c>
      <c r="G10" s="3" t="b">
        <v>0</v>
      </c>
      <c r="H10" s="8" t="n">
        <v>0</v>
      </c>
      <c r="I10" s="3" t="inlineStr"/>
      <c r="J10" s="3" t="inlineStr">
        <is>
          <t>M4</t>
        </is>
      </c>
      <c r="K10" s="3" t="inlineStr">
        <is>
          <t>M4 sign-off.</t>
        </is>
      </c>
    </row>
    <row r="11" ht="48" customHeight="1">
      <c r="A11" s="4" t="n">
        <v>10</v>
      </c>
      <c r="B11" s="7" t="n">
        <v>46240</v>
      </c>
      <c r="C11" s="4" t="inlineStr">
        <is>
          <t>Thursday</t>
        </is>
      </c>
      <c r="D11" s="4" t="inlineStr">
        <is>
          <t>Course + Pets</t>
        </is>
      </c>
      <c r="E11" s="4" t="inlineStr">
        <is>
          <t>Build course detail and start pet grid/components in parallel.</t>
        </is>
      </c>
      <c r="F11" s="4" t="inlineStr">
        <is>
          <t>6.0,8.0</t>
        </is>
      </c>
      <c r="G11" s="4" t="b">
        <v>0</v>
      </c>
      <c r="H11" s="5" t="n">
        <v>0</v>
      </c>
      <c r="I11" s="4" t="inlineStr"/>
      <c r="J11" s="4" t="inlineStr">
        <is>
          <t>M5</t>
        </is>
      </c>
      <c r="K11" s="4" t="inlineStr">
        <is>
          <t>No 3D/AR pet viewers.</t>
        </is>
      </c>
    </row>
    <row r="12" ht="48" customHeight="1">
      <c r="A12" s="3" t="n">
        <v>11</v>
      </c>
      <c r="B12" s="6" t="n">
        <v>46241</v>
      </c>
      <c r="C12" s="3" t="inlineStr">
        <is>
          <t>Friday</t>
        </is>
      </c>
      <c r="D12" s="3" t="inlineStr">
        <is>
          <t>Course Detail</t>
        </is>
      </c>
      <c r="E12" s="3" t="inlineStr">
        <is>
          <t>Complete lesson ordering, progress, and player navigation.</t>
        </is>
      </c>
      <c r="F12" s="3" t="inlineStr">
        <is>
          <t>6.0,7.0</t>
        </is>
      </c>
      <c r="G12" s="3" t="b">
        <v>0</v>
      </c>
      <c r="H12" s="8" t="n">
        <v>0</v>
      </c>
      <c r="I12" s="3" t="inlineStr"/>
      <c r="J12" s="3" t="inlineStr">
        <is>
          <t>M5</t>
        </is>
      </c>
      <c r="K12" s="3" t="inlineStr">
        <is>
          <t>Authenticated route test.</t>
        </is>
      </c>
    </row>
    <row r="13" ht="48" customHeight="1">
      <c r="A13" s="4" t="n">
        <v>12</v>
      </c>
      <c r="B13" s="7" t="n">
        <v>46244</v>
      </c>
      <c r="C13" s="4" t="inlineStr">
        <is>
          <t>Monday</t>
        </is>
      </c>
      <c r="D13" s="4" t="inlineStr">
        <is>
          <t>Lesson Player</t>
        </is>
      </c>
      <c r="E13" s="4" t="inlineStr">
        <is>
          <t>Build flashcard/quiz flow, completion call, and AR-reference placeholder.</t>
        </is>
      </c>
      <c r="F13" s="4" t="inlineStr">
        <is>
          <t>7.0,8.0</t>
        </is>
      </c>
      <c r="G13" s="4" t="b">
        <v>0</v>
      </c>
      <c r="H13" s="5" t="n">
        <v>0</v>
      </c>
      <c r="I13" s="4" t="inlineStr"/>
      <c r="J13" s="4" t="inlineStr">
        <is>
          <t>M5</t>
        </is>
      </c>
      <c r="K13" s="4" t="inlineStr">
        <is>
          <t>Never invoke Unity.</t>
        </is>
      </c>
    </row>
    <row r="14" ht="48" customHeight="1">
      <c r="A14" s="3" t="n">
        <v>13</v>
      </c>
      <c r="B14" s="6" t="n">
        <v>46245</v>
      </c>
      <c r="C14" s="3" t="inlineStr">
        <is>
          <t>Tuesday</t>
        </is>
      </c>
      <c r="D14" s="3" t="inlineStr">
        <is>
          <t>Lesson Player</t>
        </is>
      </c>
      <c r="E14" s="3" t="inlineStr">
        <is>
          <t>Finish error/retry/completion states and course learning flow review.</t>
        </is>
      </c>
      <c r="F14" s="3" t="inlineStr">
        <is>
          <t>7.0,8.0</t>
        </is>
      </c>
      <c r="G14" s="3" t="b">
        <v>0</v>
      </c>
      <c r="H14" s="8" t="n">
        <v>0</v>
      </c>
      <c r="I14" s="3" t="inlineStr"/>
      <c r="J14" s="3" t="inlineStr">
        <is>
          <t>M5</t>
        </is>
      </c>
      <c r="K14" s="3" t="inlineStr">
        <is>
          <t>M5 sign-off.</t>
        </is>
      </c>
    </row>
    <row r="15" ht="48" customHeight="1">
      <c r="A15" s="4" t="n">
        <v>14</v>
      </c>
      <c r="B15" s="7" t="n">
        <v>46246</v>
      </c>
      <c r="C15" s="4" t="inlineStr">
        <is>
          <t>Wednesday</t>
        </is>
      </c>
      <c r="D15" s="4" t="inlineStr">
        <is>
          <t>Pet Hub</t>
        </is>
      </c>
      <c r="E15" s="4" t="inlineStr">
        <is>
          <t>Complete active pet, care actions, selector, and unlock/evolution feedback.</t>
        </is>
      </c>
      <c r="F15" s="4" t="inlineStr">
        <is>
          <t>8.0,9.0</t>
        </is>
      </c>
      <c r="G15" s="4" t="b">
        <v>0</v>
      </c>
      <c r="H15" s="5" t="n">
        <v>0</v>
      </c>
      <c r="I15" s="4" t="inlineStr"/>
      <c r="J15" s="4" t="inlineStr">
        <is>
          <t>M6</t>
        </is>
      </c>
      <c r="K15" s="4" t="inlineStr">
        <is>
          <t>M6 sign-off.</t>
        </is>
      </c>
    </row>
    <row r="16" ht="48" customHeight="1">
      <c r="A16" s="3" t="n">
        <v>15</v>
      </c>
      <c r="B16" s="6" t="n">
        <v>46247</v>
      </c>
      <c r="C16" s="3" t="inlineStr">
        <is>
          <t>Thursday</t>
        </is>
      </c>
      <c r="D16" s="3" t="inlineStr">
        <is>
          <t>Gamification</t>
        </is>
      </c>
      <c r="E16" s="3" t="inlineStr">
        <is>
          <t>Integrate XP, level, streak, and unlock eligibility state.</t>
        </is>
      </c>
      <c r="F16" s="3" t="inlineStr">
        <is>
          <t>9.0</t>
        </is>
      </c>
      <c r="G16" s="3" t="b">
        <v>0</v>
      </c>
      <c r="H16" s="8" t="n">
        <v>0</v>
      </c>
      <c r="I16" s="3" t="inlineStr"/>
      <c r="J16" s="3" t="inlineStr">
        <is>
          <t>M7</t>
        </is>
      </c>
      <c r="K16" s="3" t="inlineStr">
        <is>
          <t>Refresh after mutations.</t>
        </is>
      </c>
    </row>
    <row r="17" ht="48" customHeight="1">
      <c r="A17" s="4" t="n">
        <v>16</v>
      </c>
      <c r="B17" s="7" t="n">
        <v>46248</v>
      </c>
      <c r="C17" s="4" t="inlineStr">
        <is>
          <t>Friday</t>
        </is>
      </c>
      <c r="D17" s="4" t="inlineStr">
        <is>
          <t>Integration</t>
        </is>
      </c>
      <c r="E17" s="4" t="inlineStr">
        <is>
          <t>Finish gamification integration and build bottom tab navigation.</t>
        </is>
      </c>
      <c r="F17" s="4" t="inlineStr">
        <is>
          <t>9.0,10.0</t>
        </is>
      </c>
      <c r="G17" s="4" t="b">
        <v>0</v>
      </c>
      <c r="H17" s="5" t="n">
        <v>0</v>
      </c>
      <c r="I17" s="4" t="inlineStr"/>
      <c r="J17" s="4" t="inlineStr">
        <is>
          <t>M7</t>
        </is>
      </c>
      <c r="K17" s="4" t="inlineStr">
        <is>
          <t>Preserve existing routes.</t>
        </is>
      </c>
    </row>
    <row r="18" ht="48" customHeight="1">
      <c r="A18" s="3" t="n">
        <v>17</v>
      </c>
      <c r="B18" s="6" t="n">
        <v>46251</v>
      </c>
      <c r="C18" s="3" t="inlineStr">
        <is>
          <t>Monday</t>
        </is>
      </c>
      <c r="D18" s="3" t="inlineStr">
        <is>
          <t>Integration Gate</t>
        </is>
      </c>
      <c r="E18" s="3" t="inlineStr">
        <is>
          <t>Review tabs, localization, API behavior, scope, and feature acceptance. Run the full Reviewer §12 claymorphic checklist (static + visual) on every new screen under mobile/rn/src/screens and mobile/rn/src/components/pets.</t>
        </is>
      </c>
      <c r="F18" s="3" t="inlineStr">
        <is>
          <t>10.0</t>
        </is>
      </c>
      <c r="G18" s="3" t="b">
        <v>0</v>
      </c>
      <c r="H18" s="8" t="n">
        <v>0</v>
      </c>
      <c r="I18" s="3" t="inlineStr"/>
      <c r="J18" s="3" t="inlineStr">
        <is>
          <t>M7</t>
        </is>
      </c>
      <c r="K18" s="3" t="inlineStr">
        <is>
          <t>STOP: no polish before sign-off. No Critical REQ-CLAY-001 issues remain open.</t>
        </is>
      </c>
    </row>
    <row r="19" ht="48" customHeight="1">
      <c r="A19" s="4" t="n">
        <v>18</v>
      </c>
      <c r="B19" s="7" t="n">
        <v>46252</v>
      </c>
      <c r="C19" s="4" t="inlineStr">
        <is>
          <t>Tuesday</t>
        </is>
      </c>
      <c r="D19" s="4" t="inlineStr">
        <is>
          <t>Polish</t>
        </is>
      </c>
      <c r="E19" s="4" t="inlineStr">
        <is>
          <t>Resolve review findings, accessibility issues, type errors, and visual inconsistencies.</t>
        </is>
      </c>
      <c r="F19" s="4" t="inlineStr">
        <is>
          <t>11.0</t>
        </is>
      </c>
      <c r="G19" s="4" t="b">
        <v>0</v>
      </c>
      <c r="H19" s="5" t="n">
        <v>0</v>
      </c>
      <c r="I19" s="4" t="inlineStr"/>
      <c r="J19" s="4" t="inlineStr">
        <is>
          <t>M8</t>
        </is>
      </c>
      <c r="K19" s="4" t="inlineStr">
        <is>
          <t>iOS-only readiness.</t>
        </is>
      </c>
    </row>
    <row r="20" ht="48" customHeight="1">
      <c r="A20" s="3" t="n">
        <v>19</v>
      </c>
      <c r="B20" s="6" t="n">
        <v>46253</v>
      </c>
      <c r="C20" s="3" t="inlineStr">
        <is>
          <t>Wednesday</t>
        </is>
      </c>
      <c r="D20" s="3" t="inlineStr">
        <is>
          <t>iOS Smoke</t>
        </is>
      </c>
      <c r="E20" s="3" t="inlineStr">
        <is>
          <t>Run available iOS environment smoke checklist and record evidence/blockers.</t>
        </is>
      </c>
      <c r="F20" s="3" t="inlineStr">
        <is>
          <t>11.0</t>
        </is>
      </c>
      <c r="G20" s="3" t="b">
        <v>0</v>
      </c>
      <c r="H20" s="8" t="n">
        <v>0</v>
      </c>
      <c r="I20" s="3" t="inlineStr"/>
      <c r="J20" s="3" t="inlineStr">
        <is>
          <t>M8</t>
        </is>
      </c>
      <c r="K20" s="3" t="inlineStr">
        <is>
          <t>Do not substitute Android.</t>
        </is>
      </c>
    </row>
    <row r="21" ht="48" customHeight="1">
      <c r="A21" s="4" t="n">
        <v>20</v>
      </c>
      <c r="B21" s="7" t="n">
        <v>46254</v>
      </c>
      <c r="C21" s="4" t="inlineStr">
        <is>
          <t>Thursday</t>
        </is>
      </c>
      <c r="D21" s="4" t="inlineStr">
        <is>
          <t>Release Readiness</t>
        </is>
      </c>
      <c r="E21" s="4" t="inlineStr">
        <is>
          <t>Close critical requirements and risks; complete M9 sign-off and handoff.</t>
        </is>
      </c>
      <c r="F21" s="4" t="inlineStr">
        <is>
          <t>11.0</t>
        </is>
      </c>
      <c r="G21" s="4" t="b">
        <v>0</v>
      </c>
      <c r="H21" s="5" t="n">
        <v>0</v>
      </c>
      <c r="I21" s="4" t="inlineStr"/>
      <c r="J21" s="4" t="inlineStr">
        <is>
          <t>M9</t>
        </is>
      </c>
      <c r="K21" s="4" t="inlineStr">
        <is>
          <t>Unity/AR core diff must remain empty.</t>
        </is>
      </c>
    </row>
  </sheetData>
  <autoFilter ref="A1:K21"/>
  <conditionalFormatting sqref="G2:G21">
    <cfRule type="expression" priority="1" dxfId="0">
      <formula>G2=TRUE</formula>
    </cfRule>
    <cfRule type="expression" priority="2" dxfId="1">
      <formula>G2=FALSE</formula>
    </cfRule>
  </conditionalFormatting>
  <conditionalFormatting sqref="H2:H21">
    <cfRule type="cellIs" priority="3" operator="equal" dxfId="0">
      <formula>1</formula>
    </cfRule>
  </conditionalFormatting>
  <dataValidations count="1">
    <dataValidation sqref="G2:G21" showDropDown="0" showInputMessage="0" showErrorMessage="0" allowBlank="0" errorTitle="Invalid value" error="Select a value from the list." promptTitle="Tracker field" prompt="Choose a tracker value." type="list">
      <formula1>"TRUE,FALSE"</formula1>
    </dataValidation>
  </dataValidations>
  <pageMargins left="0.75" right="0.75" top="1" bottom="1" header="0.5" footer="0.5"/>
  <pageSetup orientation="landscape" fitToHeight="0" fitToWidth="1"/>
  <headerFooter>
    <oddHeader/>
    <oddFooter>&amp;CCourses + Pets RN Migration | Internal Planning&amp;RPage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EB5757"/>
    <outlinePr summaryBelow="1" summaryRight="1"/>
    <pageSetUpPr fitToPage="1"/>
  </sheetPr>
  <dimension ref="A1:K16"/>
  <sheetViews>
    <sheetView showGridLines="0" zoomScale="9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62" customWidth="1" min="2" max="2"/>
    <col width="16" customWidth="1" min="3" max="3"/>
    <col width="14" customWidth="1" min="4" max="4"/>
    <col width="13" customWidth="1" min="5" max="5"/>
    <col width="13" customWidth="1" min="6" max="6"/>
    <col width="62" customWidth="1" min="7" max="7"/>
    <col width="55" customWidth="1" min="8" max="8"/>
    <col width="21" customWidth="1" min="9" max="9"/>
    <col width="16" customWidth="1" min="10" max="10"/>
    <col width="30" customWidth="1" min="11" max="11"/>
  </cols>
  <sheetData>
    <row r="1" ht="30" customHeight="1">
      <c r="A1" s="2" t="inlineStr">
        <is>
          <t>Risk_ID</t>
        </is>
      </c>
      <c r="B1" s="2" t="inlineStr">
        <is>
          <t>Risk_Description</t>
        </is>
      </c>
      <c r="C1" s="2" t="inlineStr">
        <is>
          <t>Category</t>
        </is>
      </c>
      <c r="D1" s="2" t="inlineStr">
        <is>
          <t>Probability</t>
        </is>
      </c>
      <c r="E1" s="2" t="inlineStr">
        <is>
          <t>Impact</t>
        </is>
      </c>
      <c r="F1" s="2" t="inlineStr">
        <is>
          <t>Risk_Score</t>
        </is>
      </c>
      <c r="G1" s="2" t="inlineStr">
        <is>
          <t>Mitigation_Strategy</t>
        </is>
      </c>
      <c r="H1" s="2" t="inlineStr">
        <is>
          <t>Contingency_Plan</t>
        </is>
      </c>
      <c r="I1" s="2" t="inlineStr">
        <is>
          <t>Owner</t>
        </is>
      </c>
      <c r="J1" s="2" t="inlineStr">
        <is>
          <t>Status</t>
        </is>
      </c>
      <c r="K1" s="2" t="inlineStr">
        <is>
          <t>Notes</t>
        </is>
      </c>
    </row>
    <row r="2" ht="58" customHeight="1">
      <c r="A2" s="3" t="inlineStr">
        <is>
          <t>R-001</t>
        </is>
      </c>
      <c r="B2" s="3" t="inlineStr">
        <is>
          <t>Backend route or response shapes differ from the web service assumptions.</t>
        </is>
      </c>
      <c r="C2" s="3" t="inlineStr">
        <is>
          <t>Technical</t>
        </is>
      </c>
      <c r="D2" s="3" t="inlineStr">
        <is>
          <t>High</t>
        </is>
      </c>
      <c r="E2" s="3" t="inlineStr">
        <is>
          <t>Critical</t>
        </is>
      </c>
      <c r="F2" s="3" t="inlineStr">
        <is>
          <t>Critical</t>
        </is>
      </c>
      <c r="G2" s="3" t="inlineStr">
        <is>
          <t>Complete contract audit by M3; use typed adapters and fixtures.</t>
        </is>
      </c>
      <c r="H2" s="3" t="inlineStr">
        <is>
          <t>Block UI work and resolve contract at service boundary.</t>
        </is>
      </c>
      <c r="I2" s="3" t="inlineStr">
        <is>
          <t>Frontend + Backend</t>
        </is>
      </c>
      <c r="J2" s="3" t="inlineStr">
        <is>
          <t>Open</t>
        </is>
      </c>
      <c r="K2" s="3" t="inlineStr">
        <is>
          <t>Foundation gate blocker</t>
        </is>
      </c>
    </row>
    <row r="3" ht="58" customHeight="1">
      <c r="A3" s="4" t="inlineStr">
        <is>
          <t>R-002</t>
        </is>
      </c>
      <c r="B3" s="4" t="inlineStr">
        <is>
          <t>Stored token restoration or expiry handling causes an authentication loop.</t>
        </is>
      </c>
      <c r="C3" s="4" t="inlineStr">
        <is>
          <t>Technical</t>
        </is>
      </c>
      <c r="D3" s="4" t="inlineStr">
        <is>
          <t>Medium</t>
        </is>
      </c>
      <c r="E3" s="4" t="inlineStr">
        <is>
          <t>Critical</t>
        </is>
      </c>
      <c r="F3" s="4" t="inlineStr">
        <is>
          <t>High</t>
        </is>
      </c>
      <c r="G3" s="4" t="inlineStr">
        <is>
          <t>Test valid, missing, expired, and revoked token paths in WBS 1.0.</t>
        </is>
      </c>
      <c r="H3" s="4" t="inlineStr">
        <is>
          <t>Clear secure token and return to AuthScreen.</t>
        </is>
      </c>
      <c r="I3" s="4" t="inlineStr">
        <is>
          <t>Frontend</t>
        </is>
      </c>
      <c r="J3" s="4" t="inlineStr">
        <is>
          <t>Open</t>
        </is>
      </c>
      <c r="K3" s="4" t="inlineStr">
        <is>
          <t>M1 gate</t>
        </is>
      </c>
    </row>
    <row r="4" ht="58" customHeight="1">
      <c r="A4" s="3" t="inlineStr">
        <is>
          <t>R-003</t>
        </is>
      </c>
      <c r="B4" s="3" t="inlineStr">
        <is>
          <t>Pet assets or backend pet states are incomplete.</t>
        </is>
      </c>
      <c r="C4" s="3" t="inlineStr">
        <is>
          <t>Data</t>
        </is>
      </c>
      <c r="D4" s="3" t="inlineStr">
        <is>
          <t>Medium</t>
        </is>
      </c>
      <c r="E4" s="3" t="inlineStr">
        <is>
          <t>High</t>
        </is>
      </c>
      <c r="F4" s="3" t="inlineStr">
        <is>
          <t>Medium</t>
        </is>
      </c>
      <c r="G4" s="3" t="inlineStr">
        <is>
          <t>Audit pet payload and provide deterministic image/state fallback rules.</t>
        </is>
      </c>
      <c r="H4" s="3" t="inlineStr">
        <is>
          <t>Use localized placeholder art and disable unsupported action.</t>
        </is>
      </c>
      <c r="I4" s="3" t="inlineStr">
        <is>
          <t>Frontend + Backend</t>
        </is>
      </c>
      <c r="J4" s="3" t="inlineStr">
        <is>
          <t>Open</t>
        </is>
      </c>
      <c r="K4" s="3" t="inlineStr">
        <is>
          <t>No 3D fallback</t>
        </is>
      </c>
    </row>
    <row r="5" ht="58" customHeight="1">
      <c r="A5" s="4" t="inlineStr">
        <is>
          <t>R-004</t>
        </is>
      </c>
      <c r="B5" s="4" t="inlineStr">
        <is>
          <t>AR fields leak into the lesson player and create a Unity dependency.</t>
        </is>
      </c>
      <c r="C5" s="4" t="inlineStr">
        <is>
          <t>Scope</t>
        </is>
      </c>
      <c r="D5" s="4" t="inlineStr">
        <is>
          <t>Medium</t>
        </is>
      </c>
      <c r="E5" s="4" t="inlineStr">
        <is>
          <t>Critical</t>
        </is>
      </c>
      <c r="F5" s="4" t="inlineStr">
        <is>
          <t>High</t>
        </is>
      </c>
      <c r="G5" s="4" t="inlineStr">
        <is>
          <t>Slim mobile types; enforce placeholder behavior; inspect imports at review gates.</t>
        </is>
      </c>
      <c r="H5" s="4" t="inlineStr">
        <is>
          <t>Remove coupling and revert any Unity/AR file change.</t>
        </is>
      </c>
      <c r="I5" s="4" t="inlineStr">
        <is>
          <t>Reviewer</t>
        </is>
      </c>
      <c r="J5" s="4" t="inlineStr">
        <is>
          <t>Open</t>
        </is>
      </c>
      <c r="K5" s="4" t="inlineStr">
        <is>
          <t>Hard scope constraint</t>
        </is>
      </c>
    </row>
    <row r="6" ht="58" customHeight="1">
      <c r="A6" s="3" t="inlineStr">
        <is>
          <t>R-005</t>
        </is>
      </c>
      <c r="B6" s="3" t="inlineStr">
        <is>
          <t>i18n coverage is incomplete or Vietnamese copy overflows layouts.</t>
        </is>
      </c>
      <c r="C6" s="3" t="inlineStr">
        <is>
          <t>Quality</t>
        </is>
      </c>
      <c r="D6" s="3" t="inlineStr">
        <is>
          <t>Medium</t>
        </is>
      </c>
      <c r="E6" s="3" t="inlineStr">
        <is>
          <t>High</t>
        </is>
      </c>
      <c r="F6" s="3" t="inlineStr">
        <is>
          <t>Medium</t>
        </is>
      </c>
      <c r="G6" s="3" t="inlineStr">
        <is>
          <t>Catalog-first strings and bilingual screen review by M7.</t>
        </is>
      </c>
      <c r="H6" s="3" t="inlineStr">
        <is>
          <t>Block sign-off until missing keys and overflow are fixed.</t>
        </is>
      </c>
      <c r="I6" s="3" t="inlineStr">
        <is>
          <t>Frontend</t>
        </is>
      </c>
      <c r="J6" s="3" t="inlineStr">
        <is>
          <t>Open</t>
        </is>
      </c>
      <c r="K6" s="3" t="inlineStr">
        <is>
          <t>All new copy localized</t>
        </is>
      </c>
    </row>
    <row r="7" ht="58" customHeight="1">
      <c r="A7" s="4" t="inlineStr">
        <is>
          <t>R-006</t>
        </is>
      </c>
      <c r="B7" s="4" t="inlineStr">
        <is>
          <t>Course or pet lists perform poorly on older iPhones.</t>
        </is>
      </c>
      <c r="C7" s="4" t="inlineStr">
        <is>
          <t>Performance</t>
        </is>
      </c>
      <c r="D7" s="4" t="inlineStr">
        <is>
          <t>Medium</t>
        </is>
      </c>
      <c r="E7" s="4" t="inlineStr">
        <is>
          <t>High</t>
        </is>
      </c>
      <c r="F7" s="4" t="inlineStr">
        <is>
          <t>Medium</t>
        </is>
      </c>
      <c r="G7" s="4" t="inlineStr">
        <is>
          <t>Use FlatList, stable keys, memoized rows, and image sizing.</t>
        </is>
      </c>
      <c r="H7" s="4" t="inlineStr">
        <is>
          <t>Reduce simultaneous rendering and defer non-critical content.</t>
        </is>
      </c>
      <c r="I7" s="4" t="inlineStr">
        <is>
          <t>Frontend</t>
        </is>
      </c>
      <c r="J7" s="4" t="inlineStr">
        <is>
          <t>Open</t>
        </is>
      </c>
      <c r="K7" s="4" t="inlineStr">
        <is>
          <t>iOS-only performance</t>
        </is>
      </c>
    </row>
    <row r="8" ht="58" customHeight="1">
      <c r="A8" s="3" t="inlineStr">
        <is>
          <t>R-007</t>
        </is>
      </c>
      <c r="B8" s="3" t="inlineStr">
        <is>
          <t>Navigation refactor breaks existing Auth, Home, or dormant routes.</t>
        </is>
      </c>
      <c r="C8" s="3" t="inlineStr">
        <is>
          <t>Technical</t>
        </is>
      </c>
      <c r="D8" s="3" t="inlineStr">
        <is>
          <t>Medium</t>
        </is>
      </c>
      <c r="E8" s="3" t="inlineStr">
        <is>
          <t>Critical</t>
        </is>
      </c>
      <c r="F8" s="3" t="inlineStr">
        <is>
          <t>High</t>
        </is>
      </c>
      <c r="G8" s="3" t="inlineStr">
        <is>
          <t>Preserve route names and smoke every existing route at M7.</t>
        </is>
      </c>
      <c r="H8" s="3" t="inlineStr">
        <is>
          <t>Revert tab shell and restore previous navigator mapping.</t>
        </is>
      </c>
      <c r="I8" s="3" t="inlineStr">
        <is>
          <t>Frontend</t>
        </is>
      </c>
      <c r="J8" s="3" t="inlineStr">
        <is>
          <t>Open</t>
        </is>
      </c>
      <c r="K8" s="3" t="inlineStr">
        <is>
          <t>No file deletion</t>
        </is>
      </c>
    </row>
    <row r="9" ht="58" customHeight="1">
      <c r="A9" s="4" t="inlineStr">
        <is>
          <t>R-008</t>
        </is>
      </c>
      <c r="B9" s="4" t="inlineStr">
        <is>
          <t>Gamification state becomes stale after lesson or pet mutations.</t>
        </is>
      </c>
      <c r="C9" s="4" t="inlineStr">
        <is>
          <t>Technical</t>
        </is>
      </c>
      <c r="D9" s="4" t="inlineStr">
        <is>
          <t>Medium</t>
        </is>
      </c>
      <c r="E9" s="4" t="inlineStr">
        <is>
          <t>High</t>
        </is>
      </c>
      <c r="F9" s="4" t="inlineStr">
        <is>
          <t>Medium</t>
        </is>
      </c>
      <c r="G9" s="4" t="inlineStr">
        <is>
          <t>Centralize refresh/invalidation after successful mutations.</t>
        </is>
      </c>
      <c r="H9" s="4" t="inlineStr">
        <is>
          <t>Force summary refetch and show non-blocking retry.</t>
        </is>
      </c>
      <c r="I9" s="4" t="inlineStr">
        <is>
          <t>Frontend</t>
        </is>
      </c>
      <c r="J9" s="4" t="inlineStr">
        <is>
          <t>Open</t>
        </is>
      </c>
      <c r="K9" s="4" t="inlineStr">
        <is>
          <t>WBS 9.0</t>
        </is>
      </c>
    </row>
    <row r="10" ht="58" customHeight="1">
      <c r="A10" s="3" t="inlineStr">
        <is>
          <t>R-009</t>
        </is>
      </c>
      <c r="B10" s="3" t="inlineStr">
        <is>
          <t>Windows development environment cannot execute an iOS simulator smoke test.</t>
        </is>
      </c>
      <c r="C10" s="3" t="inlineStr">
        <is>
          <t>Environment</t>
        </is>
      </c>
      <c r="D10" s="3" t="inlineStr">
        <is>
          <t>High</t>
        </is>
      </c>
      <c r="E10" s="3" t="inlineStr">
        <is>
          <t>High</t>
        </is>
      </c>
      <c r="F10" s="3" t="inlineStr">
        <is>
          <t>High</t>
        </is>
      </c>
      <c r="G10" s="3" t="inlineStr">
        <is>
          <t>Prepare an explicit iOS checklist and reserve an available Mac/iPhone for M8.</t>
        </is>
      </c>
      <c r="H10" s="3" t="inlineStr">
        <is>
          <t>Record blocker; complete static/type checks and defer device-only evidence.</t>
        </is>
      </c>
      <c r="I10" s="3" t="inlineStr">
        <is>
          <t>Project Manager</t>
        </is>
      </c>
      <c r="J10" s="3" t="inlineStr">
        <is>
          <t>Open</t>
        </is>
      </c>
      <c r="K10" s="3" t="inlineStr">
        <is>
          <t>Do not substitute Android</t>
        </is>
      </c>
    </row>
    <row r="11" ht="58" customHeight="1">
      <c r="A11" s="4" t="inlineStr">
        <is>
          <t>R-010</t>
        </is>
      </c>
      <c r="B11" s="4" t="inlineStr">
        <is>
          <t>Expo SDK or React Navigation package compatibility blocks the tab navigator.</t>
        </is>
      </c>
      <c r="C11" s="4" t="inlineStr">
        <is>
          <t>Dependency</t>
        </is>
      </c>
      <c r="D11" s="4" t="inlineStr">
        <is>
          <t>Medium</t>
        </is>
      </c>
      <c r="E11" s="4" t="inlineStr">
        <is>
          <t>High</t>
        </is>
      </c>
      <c r="F11" s="4" t="inlineStr">
        <is>
          <t>Medium</t>
        </is>
      </c>
      <c r="G11" s="4" t="inlineStr">
        <is>
          <t>Use Expo-compatible package versions and validate before WBS 10.0.</t>
        </is>
      </c>
      <c r="H11" s="4" t="inlineStr">
        <is>
          <t>Use stack navigation temporarily while resolving compatible tabs.</t>
        </is>
      </c>
      <c r="I11" s="4" t="inlineStr">
        <is>
          <t>Frontend</t>
        </is>
      </c>
      <c r="J11" s="4" t="inlineStr">
        <is>
          <t>Open</t>
        </is>
      </c>
      <c r="K11" s="4" t="inlineStr">
        <is>
          <t>No speculative upgrades</t>
        </is>
      </c>
    </row>
    <row r="12" ht="58" customHeight="1">
      <c r="A12" s="3" t="inlineStr">
        <is>
          <t>R-011</t>
        </is>
      </c>
      <c r="B12" s="3" t="inlineStr">
        <is>
          <t>The API is unavailable during implementation or smoke testing.</t>
        </is>
      </c>
      <c r="C12" s="3" t="inlineStr">
        <is>
          <t>External</t>
        </is>
      </c>
      <c r="D12" s="3" t="inlineStr">
        <is>
          <t>Medium</t>
        </is>
      </c>
      <c r="E12" s="3" t="inlineStr">
        <is>
          <t>High</t>
        </is>
      </c>
      <c r="F12" s="3" t="inlineStr">
        <is>
          <t>Medium</t>
        </is>
      </c>
      <c r="G12" s="3" t="inlineStr">
        <is>
          <t>Keep typed fixtures for UI states and schedule integration checks at M3/M7.</t>
        </is>
      </c>
      <c r="H12" s="3" t="inlineStr">
        <is>
          <t>Continue fixture-based work; do not claim integrated acceptance.</t>
        </is>
      </c>
      <c r="I12" s="3" t="inlineStr">
        <is>
          <t>Backend</t>
        </is>
      </c>
      <c r="J12" s="3" t="inlineStr">
        <is>
          <t>Open</t>
        </is>
      </c>
      <c r="K12" s="3" t="inlineStr">
        <is>
          <t>Integration evidence required</t>
        </is>
      </c>
    </row>
    <row r="13" ht="58" customHeight="1">
      <c r="A13" s="4" t="inlineStr">
        <is>
          <t>R-012</t>
        </is>
      </c>
      <c r="B13" s="4" t="inlineStr">
        <is>
          <t>Scope creep adds profile, admin, marketing, Android, 3D, or AR work.</t>
        </is>
      </c>
      <c r="C13" s="4" t="inlineStr">
        <is>
          <t>Schedule</t>
        </is>
      </c>
      <c r="D13" s="4" t="inlineStr">
        <is>
          <t>Medium</t>
        </is>
      </c>
      <c r="E13" s="4" t="inlineStr">
        <is>
          <t>Critical</t>
        </is>
      </c>
      <c r="F13" s="4" t="inlineStr">
        <is>
          <t>High</t>
        </is>
      </c>
      <c r="G13" s="4" t="inlineStr">
        <is>
          <t>Use WBS and requirement scope at every gate; reject unplanned additions.</t>
        </is>
      </c>
      <c r="H13" s="4" t="inlineStr">
        <is>
          <t>Defer additions to a separate backlog and protect critical path.</t>
        </is>
      </c>
      <c r="I13" s="4" t="inlineStr">
        <is>
          <t>Project Manager</t>
        </is>
      </c>
      <c r="J13" s="4" t="inlineStr">
        <is>
          <t>Open</t>
        </is>
      </c>
      <c r="K13" s="4" t="inlineStr">
        <is>
          <t>20-day budget</t>
        </is>
      </c>
    </row>
    <row r="14" ht="58" customHeight="1">
      <c r="A14" s="3" t="inlineStr">
        <is>
          <t>R-013</t>
        </is>
      </c>
      <c r="B14" s="3" t="inlineStr">
        <is>
          <t>Course content fields are too broad for the slim mobile type model.</t>
        </is>
      </c>
      <c r="C14" s="3" t="inlineStr">
        <is>
          <t>Technical</t>
        </is>
      </c>
      <c r="D14" s="3" t="inlineStr">
        <is>
          <t>Medium</t>
        </is>
      </c>
      <c r="E14" s="3" t="inlineStr">
        <is>
          <t>Medium</t>
        </is>
      </c>
      <c r="F14" s="3" t="inlineStr">
        <is>
          <t>Medium</t>
        </is>
      </c>
      <c r="G14" s="3" t="inlineStr">
        <is>
          <t>Map only fields consumed by mobile and document ignored optional fields.</t>
        </is>
      </c>
      <c r="H14" s="3" t="inlineStr">
        <is>
          <t>Extend the adapter with optional typed fields after contract review.</t>
        </is>
      </c>
      <c r="I14" s="3" t="inlineStr">
        <is>
          <t>Frontend</t>
        </is>
      </c>
      <c r="J14" s="3" t="inlineStr">
        <is>
          <t>Open</t>
        </is>
      </c>
      <c r="K14" s="3" t="inlineStr">
        <is>
          <t>Avoid copying massive web type</t>
        </is>
      </c>
    </row>
    <row r="15" ht="58" customHeight="1">
      <c r="A15" s="4" t="inlineStr">
        <is>
          <t>R-014</t>
        </is>
      </c>
      <c r="B15" s="4" t="inlineStr">
        <is>
          <t>Critical work overruns the 20-working-day schedule.</t>
        </is>
      </c>
      <c r="C15" s="4" t="inlineStr">
        <is>
          <t>Schedule</t>
        </is>
      </c>
      <c r="D15" s="4" t="inlineStr">
        <is>
          <t>Medium</t>
        </is>
      </c>
      <c r="E15" s="4" t="inlineStr">
        <is>
          <t>Critical</t>
        </is>
      </c>
      <c r="F15" s="4" t="inlineStr">
        <is>
          <t>High</t>
        </is>
      </c>
      <c r="G15" s="4" t="inlineStr">
        <is>
          <t>Daily checklist, predecessor tracking, and immediate escalation at phase gates.</t>
        </is>
      </c>
      <c r="H15" s="4" t="inlineStr">
        <is>
          <t>Cut Should/Could polish while retaining all Must requirements.</t>
        </is>
      </c>
      <c r="I15" s="4" t="inlineStr">
        <is>
          <t>Project Manager</t>
        </is>
      </c>
      <c r="J15" s="4" t="inlineStr">
        <is>
          <t>Open</t>
        </is>
      </c>
      <c r="K15" s="4" t="inlineStr">
        <is>
          <t>M9 fixed target</t>
        </is>
      </c>
    </row>
    <row r="16" ht="58" customHeight="1">
      <c r="A16" s="3" t="inlineStr">
        <is>
          <t>R-015</t>
        </is>
      </c>
      <c r="B16" s="3" t="inlineStr">
        <is>
          <t>Accessibility issues are found late in polish.</t>
        </is>
      </c>
      <c r="C16" s="3" t="inlineStr">
        <is>
          <t>Quality</t>
        </is>
      </c>
      <c r="D16" s="3" t="inlineStr">
        <is>
          <t>Medium</t>
        </is>
      </c>
      <c r="E16" s="3" t="inlineStr">
        <is>
          <t>High</t>
        </is>
      </c>
      <c r="F16" s="3" t="inlineStr">
        <is>
          <t>Medium</t>
        </is>
      </c>
      <c r="G16" s="3" t="inlineStr">
        <is>
          <t>Apply labels, touch targets, contrast, and dynamic text during each screen task.</t>
        </is>
      </c>
      <c r="H16" s="3" t="inlineStr">
        <is>
          <t>Fix critical accessibility failures before M8.</t>
        </is>
      </c>
      <c r="I16" s="3" t="inlineStr">
        <is>
          <t>Frontend + Reviewer</t>
        </is>
      </c>
      <c r="J16" s="3" t="inlineStr">
        <is>
          <t>Open</t>
        </is>
      </c>
      <c r="K16" s="3" t="inlineStr">
        <is>
          <t>iOS review</t>
        </is>
      </c>
    </row>
  </sheetData>
  <autoFilter ref="A1:K16"/>
  <conditionalFormatting sqref="F2:F16">
    <cfRule type="expression" priority="1" dxfId="5">
      <formula>$F2="Critical"</formula>
    </cfRule>
    <cfRule type="expression" priority="2" dxfId="6">
      <formula>$F2="High"</formula>
    </cfRule>
    <cfRule type="expression" priority="3" dxfId="7">
      <formula>$F2="Medium"</formula>
    </cfRule>
    <cfRule type="expression" priority="4" dxfId="8">
      <formula>$F2="Low"</formula>
    </cfRule>
  </conditionalFormatting>
  <conditionalFormatting sqref="J2:J16">
    <cfRule type="expression" priority="5" dxfId="1">
      <formula>$J2="Open"</formula>
    </cfRule>
    <cfRule type="expression" priority="6" dxfId="2">
      <formula>$J2="In Progress"</formula>
    </cfRule>
    <cfRule type="expression" priority="7" dxfId="0">
      <formula>$J2="Mitigated"</formula>
    </cfRule>
    <cfRule type="expression" priority="8" dxfId="4">
      <formula>$J2="Accepted"</formula>
    </cfRule>
    <cfRule type="expression" priority="9" dxfId="3">
      <formula>$J2="Closed"</formula>
    </cfRule>
  </conditionalFormatting>
  <dataValidations count="3">
    <dataValidation sqref="D2:D16" showDropDown="0" showInputMessage="0" showErrorMessage="0" allowBlank="0" errorTitle="Invalid value" error="Select a value from the list." promptTitle="Tracker field" prompt="Choose a tracker value." type="list">
      <formula1>"Low,Medium,High"</formula1>
    </dataValidation>
    <dataValidation sqref="E2:E16" showDropDown="0" showInputMessage="0" showErrorMessage="0" allowBlank="0" errorTitle="Invalid value" error="Select a value from the list." promptTitle="Tracker field" prompt="Choose a tracker value." type="list">
      <formula1>"Low,Medium,High,Critical"</formula1>
    </dataValidation>
    <dataValidation sqref="J2:J16" showDropDown="0" showInputMessage="0" showErrorMessage="0" allowBlank="0" errorTitle="Invalid value" error="Select a value from the list." promptTitle="Tracker field" prompt="Choose a tracker value." type="list">
      <formula1>"Open,In Progress,Mitigated,Accepted,Closed"</formula1>
    </dataValidation>
  </dataValidations>
  <pageMargins left="0.75" right="0.75" top="1" bottom="1" header="0.5" footer="0.5"/>
  <pageSetup orientation="landscape" fitToHeight="0" fitToWidth="1"/>
  <headerFooter>
    <oddHeader/>
    <oddFooter>&amp;CCourses + Pets RN Migration | Internal Planning&amp;RPage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7AE60"/>
    <outlinePr summaryBelow="1" summaryRight="1"/>
    <pageSetUpPr fitToPage="1"/>
  </sheetPr>
  <dimension ref="A1:W28"/>
  <sheetViews>
    <sheetView showGridLines="0" zoomScale="9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8" customWidth="1" min="1" max="1"/>
    <col width="13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70" customWidth="1" min="23" max="23"/>
  </cols>
  <sheetData>
    <row r="1" ht="28" customHeight="1">
      <c r="A1" s="1" t="inlineStr">
        <is>
          <t>Courses + Pets RN Migration — 20-Working-Day Gantt</t>
        </is>
      </c>
    </row>
    <row r="2">
      <c r="A2" s="14" t="inlineStr">
        <is>
          <t>Timeline: 2026-07-25 to 2026-08-20 | iOS only | NO Unity/AR core | Gates: M3, M7, M8</t>
        </is>
      </c>
    </row>
    <row r="4" ht="38" customHeight="1">
      <c r="A4" s="2" t="inlineStr">
        <is>
          <t>Task / Gate</t>
        </is>
      </c>
      <c r="B4" s="2" t="inlineStr">
        <is>
          <t>Milestone</t>
        </is>
      </c>
      <c r="C4" s="15" t="n">
        <v>46228</v>
      </c>
      <c r="D4" s="15" t="n">
        <v>46230</v>
      </c>
      <c r="E4" s="15" t="n">
        <v>46231</v>
      </c>
      <c r="F4" s="15" t="n">
        <v>46232</v>
      </c>
      <c r="G4" s="15" t="n">
        <v>46233</v>
      </c>
      <c r="H4" s="15" t="n">
        <v>46234</v>
      </c>
      <c r="I4" s="15" t="n">
        <v>46237</v>
      </c>
      <c r="J4" s="15" t="n">
        <v>46238</v>
      </c>
      <c r="K4" s="15" t="n">
        <v>46239</v>
      </c>
      <c r="L4" s="15" t="n">
        <v>46240</v>
      </c>
      <c r="M4" s="15" t="n">
        <v>46241</v>
      </c>
      <c r="N4" s="15" t="n">
        <v>46244</v>
      </c>
      <c r="O4" s="15" t="n">
        <v>46245</v>
      </c>
      <c r="P4" s="15" t="n">
        <v>46246</v>
      </c>
      <c r="Q4" s="15" t="n">
        <v>46247</v>
      </c>
      <c r="R4" s="15" t="n">
        <v>46248</v>
      </c>
      <c r="S4" s="15" t="n">
        <v>46251</v>
      </c>
      <c r="T4" s="15" t="n">
        <v>46252</v>
      </c>
      <c r="U4" s="15" t="n">
        <v>46253</v>
      </c>
      <c r="V4" s="15" t="n">
        <v>46254</v>
      </c>
      <c r="W4" s="16" t="inlineStr">
        <is>
          <t>Gate / Acceptance Notes</t>
        </is>
      </c>
    </row>
    <row r="5" ht="30" customHeight="1">
      <c r="A5" s="17" t="inlineStr">
        <is>
          <t>WBS / Gate</t>
        </is>
      </c>
      <c r="B5" s="17" t="inlineStr">
        <is>
          <t>ID</t>
        </is>
      </c>
      <c r="C5" s="17" t="inlineStr">
        <is>
          <t>D1</t>
        </is>
      </c>
      <c r="D5" s="17" t="inlineStr">
        <is>
          <t>D2</t>
        </is>
      </c>
      <c r="E5" s="17" t="inlineStr">
        <is>
          <t>D3</t>
        </is>
      </c>
      <c r="F5" s="17" t="inlineStr">
        <is>
          <t>D4</t>
        </is>
      </c>
      <c r="G5" s="17" t="inlineStr">
        <is>
          <t>D5</t>
        </is>
      </c>
      <c r="H5" s="17" t="inlineStr">
        <is>
          <t>D6</t>
        </is>
      </c>
      <c r="I5" s="17" t="inlineStr">
        <is>
          <t>D7</t>
        </is>
      </c>
      <c r="J5" s="17" t="inlineStr">
        <is>
          <t>D8</t>
        </is>
      </c>
      <c r="K5" s="17" t="inlineStr">
        <is>
          <t>D9</t>
        </is>
      </c>
      <c r="L5" s="17" t="inlineStr">
        <is>
          <t>D10</t>
        </is>
      </c>
      <c r="M5" s="17" t="inlineStr">
        <is>
          <t>D11</t>
        </is>
      </c>
      <c r="N5" s="17" t="inlineStr">
        <is>
          <t>D12</t>
        </is>
      </c>
      <c r="O5" s="17" t="inlineStr">
        <is>
          <t>D13</t>
        </is>
      </c>
      <c r="P5" s="17" t="inlineStr">
        <is>
          <t>D14</t>
        </is>
      </c>
      <c r="Q5" s="17" t="inlineStr">
        <is>
          <t>D15</t>
        </is>
      </c>
      <c r="R5" s="17" t="inlineStr">
        <is>
          <t>D16</t>
        </is>
      </c>
      <c r="S5" s="17" t="inlineStr">
        <is>
          <t>D17</t>
        </is>
      </c>
      <c r="T5" s="17" t="inlineStr">
        <is>
          <t>D18</t>
        </is>
      </c>
      <c r="U5" s="17" t="inlineStr">
        <is>
          <t>D19</t>
        </is>
      </c>
      <c r="V5" s="17" t="inlineStr">
        <is>
          <t>D20</t>
        </is>
      </c>
      <c r="W5" s="18" t="inlineStr">
        <is>
          <t>Evidence required before proceeding</t>
        </is>
      </c>
    </row>
    <row r="6" ht="34" customHeight="1">
      <c r="A6" s="3" t="inlineStr">
        <is>
          <t>1.0 Auth &amp; App State wiring</t>
        </is>
      </c>
      <c r="B6" s="3" t="inlineStr">
        <is>
          <t>M1</t>
        </is>
      </c>
      <c r="C6" s="3" t="inlineStr">
        <is>
          <t>●</t>
        </is>
      </c>
      <c r="D6" s="3" t="inlineStr">
        <is>
          <t>●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34" customHeight="1">
      <c r="A7" s="4" t="inlineStr">
        <is>
          <t>2.0 Extend tokens with rarity + stage colors from web (claymorphic parity)</t>
        </is>
      </c>
      <c r="B7" s="4" t="inlineStr">
        <is>
          <t>M2</t>
        </is>
      </c>
      <c r="C7" s="4" t="n"/>
      <c r="D7" s="19" t="inlineStr">
        <is>
          <t>●</t>
        </is>
      </c>
      <c r="E7" s="19" t="inlineStr">
        <is>
          <t>●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t="inlineStr">
        <is>
          <t>REQ-CLAY-001 enforced. RARITY_COLORS / STAGE_GRADIENTS / EVOLUTION_EMOJI / CATEGORY_COLORS / CARE_STAT_COLORS / CLAY_TONE_SHADOWS / MOTION / CLAYMORPHIC_SPRINGS / withOpacity added to mobile/rn/src/design/tokens.ts.</t>
        </is>
      </c>
    </row>
    <row r="8" ht="34" customHeight="1">
      <c r="A8" s="3" t="inlineStr">
        <is>
          <t>3.0 i18n Setup (en + vi)</t>
        </is>
      </c>
      <c r="B8" s="3" t="inlineStr">
        <is>
          <t>M2</t>
        </is>
      </c>
      <c r="C8" s="3" t="n"/>
      <c r="D8" s="3" t="n"/>
      <c r="E8" s="3" t="inlineStr">
        <is>
          <t>●</t>
        </is>
      </c>
      <c r="F8" s="3" t="inlineStr">
        <is>
          <t>●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34" customHeight="1">
      <c r="A9" s="4" t="inlineStr">
        <is>
          <t>4.0 Types + Service Layer (port course, lesson, pet, gamification types/services)</t>
        </is>
      </c>
      <c r="B9" s="4" t="inlineStr">
        <is>
          <t>M3</t>
        </is>
      </c>
      <c r="C9" s="4" t="n"/>
      <c r="D9" s="4" t="n"/>
      <c r="E9" s="19" t="inlineStr">
        <is>
          <t>●</t>
        </is>
      </c>
      <c r="F9" s="19" t="inlineStr">
        <is>
          <t>●</t>
        </is>
      </c>
      <c r="G9" s="19" t="inlineStr">
        <is>
          <t>●</t>
        </is>
      </c>
      <c r="H9" s="19" t="inlineStr">
        <is>
          <t>●</t>
        </is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</row>
    <row r="10" ht="34" customHeight="1">
      <c r="A10" s="3" t="inlineStr">
        <is>
          <t>5.0 Course List Screen</t>
        </is>
      </c>
      <c r="B10" s="3" t="inlineStr">
        <is>
          <t>M4</t>
        </is>
      </c>
      <c r="C10" s="3" t="n"/>
      <c r="D10" s="3" t="n"/>
      <c r="E10" s="3" t="n"/>
      <c r="F10" s="3" t="n"/>
      <c r="G10" s="3" t="n"/>
      <c r="H10" s="3" t="n"/>
      <c r="I10" s="3" t="inlineStr">
        <is>
          <t>●</t>
        </is>
      </c>
      <c r="J10" s="3" t="inlineStr">
        <is>
          <t>●</t>
        </is>
      </c>
      <c r="K10" s="3" t="inlineStr">
        <is>
          <t>●</t>
        </is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34" customHeight="1">
      <c r="A11" s="4" t="inlineStr">
        <is>
          <t>6.0 Course Detail Screen</t>
        </is>
      </c>
      <c r="B11" s="4" t="inlineStr">
        <is>
          <t>M5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20" t="inlineStr">
        <is>
          <t>●</t>
        </is>
      </c>
      <c r="L11" s="20" t="inlineStr">
        <is>
          <t>●</t>
        </is>
      </c>
      <c r="M11" s="20" t="inlineStr">
        <is>
          <t>●</t>
        </is>
      </c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</row>
    <row r="12" ht="34" customHeight="1">
      <c r="A12" s="3" t="inlineStr">
        <is>
          <t>7.0 Lesson Player Screen (without AR — flashcard-only or quiz-only)</t>
        </is>
      </c>
      <c r="B12" s="3" t="inlineStr">
        <is>
          <t>M5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inlineStr">
        <is>
          <t>●</t>
        </is>
      </c>
      <c r="N12" s="3" t="inlineStr">
        <is>
          <t>●</t>
        </is>
      </c>
      <c r="O12" s="3" t="inlineStr">
        <is>
          <t>●</t>
        </is>
      </c>
      <c r="P12" s="3" t="n"/>
      <c r="Q12" s="3" t="n"/>
      <c r="R12" s="3" t="n"/>
      <c r="S12" s="3" t="n"/>
      <c r="T12" s="3" t="n"/>
      <c r="U12" s="3" t="n"/>
      <c r="V12" s="3" t="n"/>
    </row>
    <row r="13" ht="34" customHeight="1">
      <c r="A13" s="4" t="inlineStr">
        <is>
          <t>8.0 Pet Hub Screen + components</t>
        </is>
      </c>
      <c r="B13" s="4" t="inlineStr">
        <is>
          <t>M6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21" t="inlineStr">
        <is>
          <t>●</t>
        </is>
      </c>
      <c r="M13" s="21" t="inlineStr">
        <is>
          <t>●</t>
        </is>
      </c>
      <c r="N13" s="21" t="inlineStr">
        <is>
          <t>●</t>
        </is>
      </c>
      <c r="O13" s="21" t="inlineStr">
        <is>
          <t>●</t>
        </is>
      </c>
      <c r="P13" s="21" t="inlineStr">
        <is>
          <t>●</t>
        </is>
      </c>
      <c r="Q13" s="4" t="n"/>
      <c r="R13" s="4" t="n"/>
      <c r="S13" s="4" t="n"/>
      <c r="T13" s="4" t="n"/>
      <c r="U13" s="4" t="n"/>
      <c r="V13" s="4" t="n"/>
    </row>
    <row r="14" ht="34" customHeight="1">
      <c r="A14" s="3" t="inlineStr">
        <is>
          <t>9.0 Gamification integration (XP bar, streak, pet unlocks)</t>
        </is>
      </c>
      <c r="B14" s="3" t="inlineStr">
        <is>
          <t>M7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●</t>
        </is>
      </c>
      <c r="Q14" s="3" t="inlineStr">
        <is>
          <t>●</t>
        </is>
      </c>
      <c r="R14" s="3" t="inlineStr">
        <is>
          <t>●</t>
        </is>
      </c>
      <c r="S14" s="3" t="n"/>
      <c r="T14" s="3" t="n"/>
      <c r="U14" s="3" t="n"/>
      <c r="V14" s="3" t="n"/>
    </row>
    <row r="15" ht="34" customHeight="1">
      <c r="A15" s="4" t="inlineStr">
        <is>
          <t>10.0 Navigation refactor (bottom tabs: Home / Courses / Pets / Profile placeholder)</t>
        </is>
      </c>
      <c r="B15" s="4" t="inlineStr">
        <is>
          <t>M7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22" t="inlineStr">
        <is>
          <t>●</t>
        </is>
      </c>
      <c r="S15" s="22" t="inlineStr">
        <is>
          <t>●</t>
        </is>
      </c>
      <c r="T15" s="4" t="n"/>
      <c r="U15" s="4" t="n"/>
      <c r="V15" s="4" t="n"/>
    </row>
    <row r="16" ht="34" customHeight="1">
      <c r="A16" s="3" t="inlineStr">
        <is>
          <t>11.0 Polish + iOS smoke test</t>
        </is>
      </c>
      <c r="B16" s="3" t="inlineStr">
        <is>
          <t>M9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inlineStr">
        <is>
          <t>●</t>
        </is>
      </c>
      <c r="U16" s="3" t="inlineStr">
        <is>
          <t>●</t>
        </is>
      </c>
      <c r="V16" s="3" t="inlineStr">
        <is>
          <t>●</t>
        </is>
      </c>
    </row>
    <row r="18">
      <c r="A18" s="23" t="inlineStr">
        <is>
          <t>PHASE GATES / MILESTONES</t>
        </is>
      </c>
    </row>
    <row r="19" ht="34" customHeight="1">
      <c r="A19" s="4" t="inlineStr">
        <is>
          <t>◆ Scope &amp; Baseline Locked</t>
        </is>
      </c>
      <c r="B19" s="4" t="inlineStr">
        <is>
          <t>M0</t>
        </is>
      </c>
      <c r="C19" s="24" t="inlineStr">
        <is>
          <t>◆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t="inlineStr">
        <is>
          <t>Scope confirms courses + pets only; Unity/AR core and Android excluded.</t>
        </is>
      </c>
    </row>
    <row r="20" ht="34" customHeight="1">
      <c r="A20" s="3" t="inlineStr">
        <is>
          <t>◆ Auth &amp; App State Ready</t>
        </is>
      </c>
      <c r="B20" s="3" t="inlineStr">
        <is>
          <t>M1</t>
        </is>
      </c>
      <c r="C20" s="3" t="n"/>
      <c r="D20" s="3" t="inlineStr">
        <is>
          <t>◆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t="inlineStr">
        <is>
          <t>Gate: authenticated app shell restores and clears sessions safely.</t>
        </is>
      </c>
    </row>
    <row r="21" ht="34" customHeight="1">
      <c r="A21" s="4" t="inlineStr">
        <is>
          <t>◆ Design System &amp; i18n Ready</t>
        </is>
      </c>
      <c r="B21" s="4" t="inlineStr">
        <is>
          <t>M2</t>
        </is>
      </c>
      <c r="C21" s="4" t="n"/>
      <c r="D21" s="4" t="n"/>
      <c r="E21" s="4" t="n"/>
      <c r="F21" s="24" t="inlineStr">
        <is>
          <t>◆</t>
        </is>
      </c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t="inlineStr">
        <is>
          <t>Gate: reusable clay tokens and en/vi catalogs approved.</t>
        </is>
      </c>
    </row>
    <row r="22" ht="34" customHeight="1">
      <c r="A22" s="3" t="inlineStr">
        <is>
          <t>◆ Foundation Phase Gate</t>
        </is>
      </c>
      <c r="B22" s="3" t="inlineStr">
        <is>
          <t>M3</t>
        </is>
      </c>
      <c r="C22" s="3" t="n"/>
      <c r="D22" s="3" t="n"/>
      <c r="E22" s="3" t="n"/>
      <c r="F22" s="3" t="n"/>
      <c r="G22" s="3" t="n"/>
      <c r="H22" s="3" t="inlineStr">
        <is>
          <t>◆</t>
        </is>
      </c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t="inlineStr">
        <is>
          <t>Mandatory sign-off on API contracts, types, services, hooks, and backend audit before screens.</t>
        </is>
      </c>
    </row>
    <row r="23" ht="34" customHeight="1">
      <c r="A23" s="4" t="inlineStr">
        <is>
          <t>◆ Course Catalog Ready</t>
        </is>
      </c>
      <c r="B23" s="4" t="inlineStr">
        <is>
          <t>M4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24" t="inlineStr">
        <is>
          <t>◆</t>
        </is>
      </c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t="inlineStr">
        <is>
          <t>Course list acceptance criteria pass.</t>
        </is>
      </c>
    </row>
    <row r="24" ht="34" customHeight="1">
      <c r="A24" s="3" t="inlineStr">
        <is>
          <t>◆ Course Learning Flow Ready</t>
        </is>
      </c>
      <c r="B24" s="3" t="inlineStr">
        <is>
          <t>M5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◆</t>
        </is>
      </c>
      <c r="P24" s="3" t="n"/>
      <c r="Q24" s="3" t="n"/>
      <c r="R24" s="3" t="n"/>
      <c r="S24" s="3" t="n"/>
      <c r="T24" s="3" t="n"/>
      <c r="U24" s="3" t="n"/>
      <c r="V24" s="3" t="n"/>
      <c r="W24" t="inlineStr">
        <is>
          <t>Course detail and non-AR lesson player pass; AR references degrade safely.</t>
        </is>
      </c>
    </row>
    <row r="25" ht="34" customHeight="1">
      <c r="A25" s="4" t="inlineStr">
        <is>
          <t>◆ Pet Hub Ready</t>
        </is>
      </c>
      <c r="B25" s="4" t="inlineStr">
        <is>
          <t>M6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24" t="inlineStr">
        <is>
          <t>◆</t>
        </is>
      </c>
      <c r="Q25" s="4" t="n"/>
      <c r="R25" s="4" t="n"/>
      <c r="S25" s="4" t="n"/>
      <c r="T25" s="4" t="n"/>
      <c r="U25" s="4" t="n"/>
      <c r="V25" s="4" t="n"/>
      <c r="W25" t="inlineStr">
        <is>
          <t>Pet catalog, active selection, care actions, and unlock UI pass.</t>
        </is>
      </c>
    </row>
    <row r="26" ht="34" customHeight="1">
      <c r="A26" s="3" t="inlineStr">
        <is>
          <t>◆ Feature Integration Gate</t>
        </is>
      </c>
      <c r="B26" s="3" t="inlineStr">
        <is>
          <t>M7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inlineStr">
        <is>
          <t>◆</t>
        </is>
      </c>
      <c r="T26" s="3" t="n"/>
      <c r="U26" s="3" t="n"/>
      <c r="V26" s="3" t="n"/>
      <c r="W26" t="inlineStr">
        <is>
          <t>Mandatory reviewer sign-off for gamification, tabs, localization, and scope compliance.</t>
        </is>
      </c>
    </row>
    <row r="27" ht="34" customHeight="1">
      <c r="A27" s="4" t="inlineStr">
        <is>
          <t>◆ iOS Smoke Gate</t>
        </is>
      </c>
      <c r="B27" s="4" t="inlineStr">
        <is>
          <t>M8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5" t="inlineStr">
        <is>
          <t>◆</t>
        </is>
      </c>
      <c r="V27" s="4" t="n"/>
      <c r="W27" t="inlineStr">
        <is>
          <t>iOS-only configuration and manual smoke checklist pass in an available iOS environment.</t>
        </is>
      </c>
    </row>
    <row r="28" ht="34" customHeight="1">
      <c r="A28" s="3" t="inlineStr">
        <is>
          <t>◆ Migration Release Ready</t>
        </is>
      </c>
      <c r="B28" s="3" t="inlineStr">
        <is>
          <t>M9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inlineStr">
        <is>
          <t>◆</t>
        </is>
      </c>
      <c r="W28" t="inlineStr">
        <is>
          <t>Final acceptance, documentation, and handoff complete; Unity/AR core remains untouched.</t>
        </is>
      </c>
    </row>
  </sheetData>
  <autoFilter ref="A4:V16"/>
  <mergeCells count="3">
    <mergeCell ref="A2:V2"/>
    <mergeCell ref="A1:V1"/>
    <mergeCell ref="A18:V18"/>
  </mergeCells>
  <pageMargins left="0.75" right="0.75" top="1" bottom="1" header="0.5" footer="0.5"/>
  <pageSetup orientation="landscape" fitToHeight="0" fitToWidth="1"/>
  <headerFooter>
    <oddHeader/>
    <oddFooter>&amp;CCourses + Pets RN Migration | Internal Planning&amp;RPage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Edu-platform SDLC Team</dc:creator>
  <dc:title xmlns:dc="http://purl.org/dc/elements/1.1/">Courses + Pets React Native Migration Tracker</dc:title>
  <dc:description xmlns:dc="http://purl.org/dc/elements/1.1/">PM tracker for migrating courses and pets from frontend-web to mobile/rn, excluding Unity and AR core work.</dc:description>
  <dc:subject xmlns:dc="http://purl.org/dc/elements/1.1/">20-working-day iOS-only courses and pets migration plan</dc:subject>
  <dcterms:created xmlns:dcterms="http://purl.org/dc/terms/" xmlns:xsi="http://www.w3.org/2001/XMLSchema-instance" xsi:type="dcterms:W3CDTF">2026-07-25T08:38:20Z</dcterms:created>
  <dcterms:modified xmlns:dcterms="http://purl.org/dc/terms/" xmlns:xsi="http://www.w3.org/2001/XMLSchema-instance" xsi:type="dcterms:W3CDTF">2026-07-26T08:05:22Z</dcterms:modified>
</cp:coreProperties>
</file>